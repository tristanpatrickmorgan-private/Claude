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name="76A Ingelow Road" sheetId="1" state="visible" r:id="rId1"/>
    <sheet name="Santander" sheetId="2" state="visible" r:id="rId2"/>
    <sheet name="Tax 24-25" sheetId="3" state="visible" r:id="rId3"/>
    <sheet name="Tax 25-26" sheetId="4" state="visible" r:id="rId4"/>
    <sheet name="HSBC Interest" sheetId="5" state="visible" r:id="rId5"/>
    <sheet name="Yield Analysis" sheetId="6" state="visible" r:id="rId6"/>
    <sheet name="Capital Gains 2025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_-;\-* #,##0_-;_-* &quot;-&quot;??_-;_-@_-"/>
    <numFmt numFmtId="165" formatCode="_(* #,##0_);_(* \(#,##0\);_(* &quot;-&quot;??_);_(@_)"/>
    <numFmt numFmtId="166" formatCode="0.0000"/>
    <numFmt numFmtId="167" formatCode="0.00000"/>
  </numFmts>
  <fonts count="13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  <font>
      <color rgb="00990000"/>
    </font>
    <font>
      <b val="1"/>
      <color rgb="00FFFFFF"/>
      <sz val="11"/>
    </font>
    <font>
      <b val="1"/>
      <sz val="10"/>
    </font>
    <font>
      <i val="1"/>
      <color rgb="00808080"/>
    </font>
  </fonts>
  <fills count="13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FFD966"/>
      </patternFill>
    </fill>
    <fill>
      <patternFill patternType="solid">
        <fgColor rgb="00FFFFCC"/>
      </patternFill>
    </fill>
    <fill>
      <patternFill patternType="solid">
        <fgColor rgb="005B9BD5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  <xf numFmtId="0" fontId="6" fillId="3" borderId="0" pivotButton="0" quotePrefix="0" xfId="0"/>
    <xf numFmtId="0" fontId="0" fillId="6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6" fillId="7" borderId="0" pivotButton="0" quotePrefix="0" xfId="0"/>
    <xf numFmtId="0" fontId="7" fillId="4" borderId="0" pivotButton="0" quotePrefix="0" xfId="0"/>
    <xf numFmtId="0" fontId="0" fillId="8" borderId="0" pivotButton="0" quotePrefix="0" xfId="0"/>
    <xf numFmtId="10" fontId="0" fillId="0" borderId="0" pivotButton="0" quotePrefix="0" xfId="0"/>
    <xf numFmtId="10" fontId="6" fillId="4" borderId="0" pivotButton="0" quotePrefix="0" xfId="0"/>
    <xf numFmtId="10" fontId="6" fillId="0" borderId="0" pivotButton="0" quotePrefix="0" xfId="0"/>
    <xf numFmtId="10" fontId="6" fillId="5" borderId="0" pivotButton="0" quotePrefix="0" xfId="0"/>
    <xf numFmtId="0" fontId="5" fillId="2" borderId="0" applyAlignment="1" pivotButton="0" quotePrefix="0" xfId="0">
      <alignment vertical="center"/>
    </xf>
    <xf numFmtId="0" fontId="10" fillId="9" borderId="0" pivotButton="0" quotePrefix="0" xfId="0"/>
    <xf numFmtId="0" fontId="11" fillId="10" borderId="0" pivotButton="0" quotePrefix="0" xfId="0"/>
    <xf numFmtId="166" fontId="0" fillId="0" borderId="0" pivotButton="0" quotePrefix="0" xfId="0"/>
    <xf numFmtId="3" fontId="0" fillId="0" borderId="0" pivotButton="0" quotePrefix="0" xfId="0"/>
    <xf numFmtId="166" fontId="0" fillId="11" borderId="0" pivotButton="0" quotePrefix="0" xfId="0"/>
    <xf numFmtId="0" fontId="11" fillId="11" borderId="0" pivotButton="0" quotePrefix="0" xfId="0"/>
    <xf numFmtId="3" fontId="11" fillId="11" borderId="0" pivotButton="0" quotePrefix="0" xfId="0"/>
    <xf numFmtId="3" fontId="11" fillId="4" borderId="0" pivotButton="0" quotePrefix="0" xfId="0"/>
    <xf numFmtId="3" fontId="6" fillId="4" borderId="0" pivotButton="0" quotePrefix="0" xfId="0"/>
    <xf numFmtId="0" fontId="0" fillId="10" borderId="0" pivotButton="0" quotePrefix="0" xfId="0"/>
    <xf numFmtId="167" fontId="0" fillId="8" borderId="0" pivotButton="0" quotePrefix="0" xfId="0"/>
    <xf numFmtId="0" fontId="11" fillId="3" borderId="0" pivotButton="0" quotePrefix="0" xfId="0"/>
    <xf numFmtId="4" fontId="0" fillId="0" borderId="0" pivotButton="0" quotePrefix="0" xfId="0"/>
    <xf numFmtId="167" fontId="0" fillId="0" borderId="0" pivotButton="0" quotePrefix="0" xfId="0"/>
    <xf numFmtId="166" fontId="11" fillId="11" borderId="0" pivotButton="0" quotePrefix="0" xfId="0"/>
    <xf numFmtId="4" fontId="11" fillId="11" borderId="0" pivotButton="0" quotePrefix="0" xfId="0"/>
    <xf numFmtId="0" fontId="0" fillId="11" borderId="0" pivotButton="0" quotePrefix="0" xfId="0"/>
    <xf numFmtId="0" fontId="12" fillId="12" borderId="0" pivotButton="0" quotePrefix="0" xfId="0"/>
    <xf numFmtId="166" fontId="12" fillId="12" borderId="0" pivotButton="0" quotePrefix="0" xfId="0"/>
    <xf numFmtId="4" fontId="12" fillId="12" borderId="0" pivotButton="0" quotePrefix="0" xfId="0"/>
    <xf numFmtId="167" fontId="12" fillId="12" borderId="0" pivotButton="0" quotePrefix="0" xfId="0"/>
    <xf numFmtId="3" fontId="12" fillId="12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24/25 + Swedish 2024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13.50453</v>
      </c>
      <c r="C4" t="inlineStr">
        <is>
          <t>Riksbanken 2024 annual average</t>
        </is>
      </c>
    </row>
    <row r="5">
      <c r="A5" t="inlineStr">
        <is>
          <t>UK tax year (label/float)</t>
        </is>
      </c>
      <c r="B5" t="n">
        <v>24.25</v>
      </c>
      <c r="C5" t="inlineStr">
        <is>
          <t>24/25</t>
        </is>
      </c>
    </row>
    <row r="6">
      <c r="A6" t="inlineStr">
        <is>
          <t>Swedish tax year</t>
        </is>
      </c>
      <c r="B6" t="n">
        <v>2024</v>
      </c>
      <c r="C6" t="inlineStr">
        <is>
          <t>2024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24/25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2024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1128*3/12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2024</t>
        </is>
      </c>
      <c r="B56" s="17">
        <f>1128*3/12+$B$32*9/12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5" customWidth="1" style="4" min="4" max="4"/>
  </cols>
  <sheetData>
    <row r="1">
      <c r="A1" s="11" t="inlineStr">
        <is>
          <t>Tax calculation — UK 25/26 + Swedish 2025</t>
        </is>
      </c>
    </row>
    <row r="2"/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12.92163</v>
      </c>
      <c r="C4" t="inlineStr">
        <is>
          <t>Riksbanken 2025 annual average</t>
        </is>
      </c>
    </row>
    <row r="5">
      <c r="A5" t="inlineStr">
        <is>
          <t>UK tax year (label/float)</t>
        </is>
      </c>
      <c r="B5" t="n">
        <v>25.26</v>
      </c>
      <c r="C5" t="inlineStr">
        <is>
          <t>25/26</t>
        </is>
      </c>
    </row>
    <row r="6">
      <c r="A6" t="inlineStr">
        <is>
          <t>Swedish tax year</t>
        </is>
      </c>
      <c r="B6" t="n">
        <v>2025</v>
      </c>
      <c r="C6" t="inlineStr">
        <is>
          <t>2025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3"/>
    <row r="14">
      <c r="A14" s="13" t="inlineStr">
        <is>
          <t>UK tax year 25/26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1"/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6"/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3"/>
    <row r="34"/>
    <row r="35">
      <c r="A35" s="13" t="inlineStr">
        <is>
          <t>Swedish tax year 2025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6" t="inlineStr">
        <is>
          <t>(Memo: rental income net of commission — NOT used; gross applies)</t>
        </is>
      </c>
      <c r="B39" s="12">
        <f>$B$37+$B$38</f>
        <v/>
      </c>
      <c r="C39" s="12">
        <f>B39*$B$4</f>
        <v/>
      </c>
    </row>
    <row r="40"/>
    <row r="41">
      <c r="A41" s="16" t="inlineStr">
        <is>
          <t>Schablonavdrag (applied to GROSS rent per Skatteverket strict reading):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GROSS rent</t>
        </is>
      </c>
      <c r="B43">
        <f>-$B$37*$B$11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$B$37+$B$42+$B$43</f>
        <v/>
      </c>
      <c r="C44" s="17">
        <f>B44*$B$4</f>
        <v/>
      </c>
    </row>
    <row r="45"/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7"/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s="16" t="inlineStr">
        <is>
          <t>Mortgage product fees (NOT deductible per RÅ 1997 ref. 63)</t>
        </is>
      </c>
      <c r="B50" t="n">
        <v>0</v>
      </c>
      <c r="C50" t="n">
        <v>0</v>
      </c>
    </row>
    <row r="51">
      <c r="A51" s="12" t="inlineStr">
        <is>
          <t>Box 8.1 total (interest only — product fee excluded)</t>
        </is>
      </c>
      <c r="B51" s="17">
        <f>$B$49</f>
        <v/>
      </c>
      <c r="C51" s="17">
        <f>B51*$B$4</f>
        <v/>
      </c>
    </row>
    <row r="52"/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'Tax 24-25'!$B$32*3/12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2025</t>
        </is>
      </c>
      <c r="B56" s="17">
        <f>'Tax 24-25'!$B$32*3/12+$B$32*9/12</f>
        <v/>
      </c>
      <c r="C56" s="17">
        <f>B56*$B$4</f>
        <v/>
      </c>
    </row>
    <row r="57"/>
    <row r="58"/>
    <row r="59">
      <c r="A59" s="13" t="inlineStr">
        <is>
          <t>Swedish 2025 TOTAL capital income tax (all sources)</t>
        </is>
      </c>
      <c r="B59" s="14" t="n"/>
      <c r="C59" s="14" t="n"/>
      <c r="D59" s="14" t="n"/>
      <c r="E59" s="14" t="n"/>
    </row>
    <row r="60">
      <c r="A60" s="16" t="inlineStr">
        <is>
          <t>Includes: rental (7.3), HSBC interest (7.2), Vanguard CGT (7.4), mortgage interest (8.1)</t>
        </is>
      </c>
    </row>
    <row r="61">
      <c r="A61" s="16" t="inlineStr">
        <is>
          <t>All capital income taxed at flat 30% in Sweden. Salary income (~800k SEK) is separate (~50% marginal).</t>
        </is>
      </c>
    </row>
    <row r="62"/>
    <row r="63">
      <c r="B63" s="12" t="inlineStr">
        <is>
          <t>GBP</t>
        </is>
      </c>
      <c r="C63" s="12" t="inlineStr">
        <is>
          <t>SEK</t>
        </is>
      </c>
      <c r="D63" s="12" t="inlineStr">
        <is>
          <t>Notes</t>
        </is>
      </c>
    </row>
    <row r="64">
      <c r="A64" t="inlineStr">
        <is>
          <t>Box 7.2 — Ränteinkomster (HSBC interest, calendar yr)</t>
        </is>
      </c>
      <c r="B64">
        <f>SUMIF('HSBC Interest'!G:G,"2025",'HSBC Interest'!E:E)</f>
        <v/>
      </c>
      <c r="C64">
        <f>B64*$B$4</f>
        <v/>
      </c>
      <c r="D64" t="inlineStr">
        <is>
          <t>From HSBC Interest tab</t>
        </is>
      </c>
    </row>
    <row r="65">
      <c r="A65" t="inlineStr">
        <is>
          <t>Box 7.3 — Överskott vid uthyrning (rental net)</t>
        </is>
      </c>
      <c r="B65">
        <f>$B$44</f>
        <v/>
      </c>
      <c r="C65">
        <f>B65*$B$4</f>
        <v/>
      </c>
      <c r="D65" t="inlineStr">
        <is>
          <t>From rental calc above</t>
        </is>
      </c>
    </row>
    <row r="66">
      <c r="A66" s="12" t="inlineStr">
        <is>
          <t>Box 7.4 — Kapitalvinst (Vanguard ISA sale)</t>
        </is>
      </c>
      <c r="B66" s="12">
        <f>'Capital Gains 2025'!$C$17</f>
        <v/>
      </c>
      <c r="C66" s="12">
        <f>'Capital Gains 2025'!$C$17</f>
        <v/>
      </c>
      <c r="D66" t="inlineStr">
        <is>
          <t>From Capital Gains 2025 tab</t>
        </is>
      </c>
    </row>
    <row r="67">
      <c r="A67" s="12" t="inlineStr">
        <is>
          <t>Total capital income</t>
        </is>
      </c>
      <c r="B67" s="15">
        <f>$B$64+$B$44+$B$66</f>
        <v/>
      </c>
      <c r="C67" s="15">
        <f>C64+C65+C66</f>
        <v/>
      </c>
    </row>
    <row r="68">
      <c r="A68" t="inlineStr">
        <is>
          <t>Less: Box 8.1 — Ränteutgifter (mortgage interest)</t>
        </is>
      </c>
      <c r="B68">
        <f>-$B$51</f>
        <v/>
      </c>
      <c r="C68">
        <f>-C51</f>
        <v/>
      </c>
      <c r="D68" t="inlineStr">
        <is>
          <t>From rental calc above</t>
        </is>
      </c>
    </row>
    <row r="69">
      <c r="A69" s="12" t="inlineStr">
        <is>
          <t>Net capital income (taxable base)</t>
        </is>
      </c>
      <c r="B69" s="12">
        <f>$B$67-$B$51</f>
        <v/>
      </c>
      <c r="C69" s="12">
        <f>C67+C68</f>
        <v/>
      </c>
    </row>
    <row r="70">
      <c r="A70" t="inlineStr">
        <is>
          <t>Swedish capital tax @ 30% (gross, before FTC)</t>
        </is>
      </c>
      <c r="B70">
        <f>$B$69*$B$12</f>
        <v/>
      </c>
      <c r="C70">
        <f>C69*$B$12</f>
        <v/>
      </c>
    </row>
    <row r="71">
      <c r="A71" t="inlineStr">
        <is>
          <t>Less: Foreign tax credit (UK rental tax apportioned)</t>
        </is>
      </c>
      <c r="B71">
        <f>-$B$56</f>
        <v/>
      </c>
      <c r="C71">
        <f>-C56</f>
        <v/>
      </c>
      <c r="D71" t="inlineStr">
        <is>
          <t>Only UK property tax — no UK tax on interest (PSA) or CGT (ISA)</t>
        </is>
      </c>
    </row>
    <row r="72">
      <c r="A72" s="12" t="inlineStr">
        <is>
          <t>Swedish tax payable for 2025 (rental + interest + CGT)</t>
        </is>
      </c>
      <c r="B72" s="22">
        <f>C72/$B$4</f>
        <v/>
      </c>
      <c r="C72" s="22">
        <f>C70+C71</f>
        <v/>
      </c>
    </row>
    <row r="73">
      <c r="A73" s="16" t="inlineStr">
        <is>
          <t>Note: SEK column is the true tax base. GBP column is informational at year-avg FX.</t>
        </is>
      </c>
    </row>
    <row r="74">
      <c r="A74" s="16" t="inlineStr">
        <is>
          <t>Memo: tax attributable to each income source (at 30%)</t>
        </is>
      </c>
    </row>
    <row r="75">
      <c r="A75" t="inlineStr">
        <is>
          <t xml:space="preserve">  Rental property (net of interest, after FTC)</t>
        </is>
      </c>
      <c r="B75">
        <f>($B$44-$B$51)*$B$12-$B$56</f>
        <v/>
      </c>
      <c r="C75">
        <f>B75*$B$4</f>
        <v/>
      </c>
    </row>
    <row r="76">
      <c r="A76" t="inlineStr">
        <is>
          <t xml:space="preserve">  HSBC interest</t>
        </is>
      </c>
      <c r="B76">
        <f>$B$64*$B$12</f>
        <v/>
      </c>
      <c r="C76">
        <f>B76*$B$4</f>
        <v/>
      </c>
    </row>
    <row r="77">
      <c r="A77" t="inlineStr">
        <is>
          <t xml:space="preserve">  Vanguard CGT (no UK tax — ISA)</t>
        </is>
      </c>
      <c r="B77">
        <f>$B$66*$B$12</f>
        <v/>
      </c>
      <c r="C77">
        <f>B77*$B$4</f>
        <v/>
      </c>
    </row>
    <row r="79">
      <c r="A79" s="23" t="inlineStr">
        <is>
          <t>ALTERNATIVE: filed-position scenario using net-of-commission base</t>
        </is>
      </c>
    </row>
    <row r="80">
      <c r="A80" s="16" t="inlineStr">
        <is>
          <t>(Less conservative — matches 2024 filing approach. Differential vs current strict position shown below.)</t>
        </is>
      </c>
    </row>
    <row r="82">
      <c r="A82" t="inlineStr">
        <is>
          <t>Net rental (after commission)</t>
        </is>
      </c>
      <c r="B82">
        <f>$B$37+$B$38</f>
        <v/>
      </c>
    </row>
    <row r="83">
      <c r="A83" t="inlineStr">
        <is>
          <t>Less: 40k SEK std</t>
        </is>
      </c>
      <c r="B83">
        <f>-$B$10/$B$4</f>
        <v/>
      </c>
    </row>
    <row r="84">
      <c r="A84" s="12" t="inlineStr">
        <is>
          <t>Less: 20% of NET rental</t>
        </is>
      </c>
      <c r="B84" s="12">
        <f>-($B$37+$B$38)*$B$11</f>
        <v/>
      </c>
      <c r="C84" s="12" t="n"/>
    </row>
    <row r="85">
      <c r="A85" t="inlineStr">
        <is>
          <t>Plus: Product fee deduction in Box 8.1 (alternative)</t>
        </is>
      </c>
      <c r="B85">
        <f>-SUMIF('Santander'!$B$4:$AN$4,$C$6,'Santander'!$B$8:$AN$8)</f>
        <v/>
      </c>
    </row>
    <row r="86">
      <c r="A86" s="12" t="inlineStr">
        <is>
          <t>Alternative Box 7.3 (net-of-commission)</t>
        </is>
      </c>
      <c r="B86" s="12">
        <f>($B$37+$B$38)+(-$B$10/$B$4)+(-($B$37+$B$38)*$B$11)</f>
        <v/>
      </c>
    </row>
    <row r="87">
      <c r="A87" t="inlineStr">
        <is>
          <t>Tax saving if alternative applied (30% of differential)</t>
        </is>
      </c>
      <c r="B87" s="19">
        <f>($B$44-$B$86+SUMIF('Santander'!$B$4:$AN$4,$C$6,'Santander'!$B$8:$AN$8))*0.30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" min="1" max="1"/>
    <col width="16" customWidth="1" style="4" min="2" max="2"/>
    <col width="22" customWidth="1" style="4" min="3" max="3"/>
    <col width="24" customWidth="1" style="4" min="4" max="4"/>
    <col width="12" customWidth="1" style="4" min="5" max="5"/>
    <col width="12" customWidth="1" style="4" min="6" max="6"/>
    <col width="12" customWidth="1" style="4" min="7" max="7"/>
  </cols>
  <sheetData>
    <row r="1">
      <c r="A1" s="11" t="inlineStr">
        <is>
          <t>HSBC Savings Interest — by month credited</t>
        </is>
      </c>
    </row>
    <row r="3">
      <c r="A3" s="16" t="inlineStr">
        <is>
          <t>UK tax: report total in SA100 box 2 (Untaxed UK interest). PSA £1,000 covers basic rate taxpayers.</t>
        </is>
      </c>
    </row>
    <row r="4">
      <c r="A4" s="16" t="inlineStr">
        <is>
          <t>Swedish tax: report in Box 7.2 (Ränteinkomster) — taxed at 30% capital rate.</t>
        </is>
      </c>
    </row>
    <row r="6">
      <c r="A6" s="18" t="inlineStr">
        <is>
          <t>Credit date</t>
        </is>
      </c>
      <c r="B6" s="18" t="inlineStr">
        <is>
          <t>Period</t>
        </is>
      </c>
      <c r="C6" s="18" t="inlineStr">
        <is>
          <t>GROSS INTEREST (£)</t>
        </is>
      </c>
      <c r="D6" s="18" t="inlineStr">
        <is>
          <t>ADDED GROSS INTEREST (£)</t>
        </is>
      </c>
      <c r="E6" s="18" t="inlineStr">
        <is>
          <t>Total (£)</t>
        </is>
      </c>
      <c r="F6" s="18" t="inlineStr">
        <is>
          <t>UK Tax Year</t>
        </is>
      </c>
      <c r="G6" s="18" t="inlineStr">
        <is>
          <t>Swedish Year</t>
        </is>
      </c>
    </row>
    <row r="7">
      <c r="A7" t="inlineStr">
        <is>
          <t>01 Jan 25</t>
        </is>
      </c>
      <c r="B7" t="inlineStr">
        <is>
          <t>TO 31DEC2024</t>
        </is>
      </c>
      <c r="C7" t="n">
        <v>4.82</v>
      </c>
      <c r="D7" t="n">
        <v>0</v>
      </c>
      <c r="E7">
        <f>SUM(C7:D7)</f>
        <v/>
      </c>
      <c r="F7" t="inlineStr">
        <is>
          <t>24/25</t>
        </is>
      </c>
      <c r="G7" t="inlineStr">
        <is>
          <t>2025</t>
        </is>
      </c>
    </row>
    <row r="8">
      <c r="A8" t="inlineStr">
        <is>
          <t>01 Feb 25</t>
        </is>
      </c>
      <c r="B8" t="inlineStr">
        <is>
          <t>TO 31JAN2025</t>
        </is>
      </c>
      <c r="C8" t="n">
        <v>4.58</v>
      </c>
      <c r="D8" t="n">
        <v>0</v>
      </c>
      <c r="E8">
        <f>SUM(C8:D8)</f>
        <v/>
      </c>
      <c r="F8" t="inlineStr">
        <is>
          <t>24/25</t>
        </is>
      </c>
      <c r="G8" t="inlineStr">
        <is>
          <t>2025</t>
        </is>
      </c>
    </row>
    <row r="9">
      <c r="A9" t="inlineStr">
        <is>
          <t>01 Mar 25</t>
        </is>
      </c>
      <c r="B9" t="inlineStr">
        <is>
          <t>TO 28FEB2025</t>
        </is>
      </c>
      <c r="C9" t="n">
        <v>1.95</v>
      </c>
      <c r="D9" t="n">
        <v>0</v>
      </c>
      <c r="E9">
        <f>SUM(C9:D9)</f>
        <v/>
      </c>
      <c r="F9" t="inlineStr">
        <is>
          <t>24/25</t>
        </is>
      </c>
      <c r="G9" t="inlineStr">
        <is>
          <t>2025</t>
        </is>
      </c>
    </row>
    <row r="10">
      <c r="A10" t="inlineStr">
        <is>
          <t>01 Apr 25</t>
        </is>
      </c>
      <c r="B10" t="inlineStr">
        <is>
          <t>TO 31MAR2025</t>
        </is>
      </c>
      <c r="C10" t="n">
        <v>1.96</v>
      </c>
      <c r="D10" t="n">
        <v>3.26</v>
      </c>
      <c r="E10">
        <f>SUM(C10:D10)</f>
        <v/>
      </c>
      <c r="F10" t="inlineStr">
        <is>
          <t>24/25</t>
        </is>
      </c>
      <c r="G10" t="inlineStr">
        <is>
          <t>2025</t>
        </is>
      </c>
    </row>
    <row r="11">
      <c r="A11" t="inlineStr">
        <is>
          <t>01 May 25</t>
        </is>
      </c>
      <c r="B11" t="inlineStr">
        <is>
          <t>TO 30APR2025</t>
        </is>
      </c>
      <c r="C11" t="n">
        <v>3.12</v>
      </c>
      <c r="D11" t="n">
        <v>5.59</v>
      </c>
      <c r="E11">
        <f>SUM(C11:D11)</f>
        <v/>
      </c>
      <c r="F11" t="inlineStr">
        <is>
          <t>25/26</t>
        </is>
      </c>
      <c r="G11" t="inlineStr">
        <is>
          <t>2025</t>
        </is>
      </c>
    </row>
    <row r="12">
      <c r="A12" t="inlineStr">
        <is>
          <t>01 Jun 25</t>
        </is>
      </c>
      <c r="B12" t="inlineStr">
        <is>
          <t>TO 31MAY2025</t>
        </is>
      </c>
      <c r="C12" t="n">
        <v>4.02</v>
      </c>
      <c r="D12" t="n">
        <v>7.84</v>
      </c>
      <c r="E12">
        <f>SUM(C12:D12)</f>
        <v/>
      </c>
      <c r="F12" t="inlineStr">
        <is>
          <t>25/26</t>
        </is>
      </c>
      <c r="G12" t="inlineStr">
        <is>
          <t>2025</t>
        </is>
      </c>
    </row>
    <row r="13">
      <c r="A13" t="inlineStr">
        <is>
          <t>01 Jul 25</t>
        </is>
      </c>
      <c r="B13" t="inlineStr">
        <is>
          <t>TO 30JUN2025</t>
        </is>
      </c>
      <c r="C13" t="n">
        <v>11.04</v>
      </c>
      <c r="D13" t="n">
        <v>21.55</v>
      </c>
      <c r="E13">
        <f>SUM(C13:D13)</f>
        <v/>
      </c>
      <c r="F13" t="inlineStr">
        <is>
          <t>25/26</t>
        </is>
      </c>
      <c r="G13" t="inlineStr">
        <is>
          <t>2025</t>
        </is>
      </c>
    </row>
    <row r="14">
      <c r="A14" t="inlineStr">
        <is>
          <t>01 Aug 25</t>
        </is>
      </c>
      <c r="B14" t="inlineStr">
        <is>
          <t>TO 31JUL2025</t>
        </is>
      </c>
      <c r="C14" t="n">
        <v>11.3</v>
      </c>
      <c r="D14" t="n">
        <v>21.75</v>
      </c>
      <c r="E14">
        <f>SUM(C14:D14)</f>
        <v/>
      </c>
      <c r="F14" t="inlineStr">
        <is>
          <t>25/26</t>
        </is>
      </c>
      <c r="G14" t="inlineStr">
        <is>
          <t>2025</t>
        </is>
      </c>
    </row>
    <row r="15">
      <c r="A15" t="inlineStr">
        <is>
          <t>01 Sep 25</t>
        </is>
      </c>
      <c r="B15" t="inlineStr">
        <is>
          <t>TO 31AUG2025</t>
        </is>
      </c>
      <c r="C15" t="n">
        <v>10</v>
      </c>
      <c r="D15" t="n">
        <v>0</v>
      </c>
      <c r="E15">
        <f>SUM(C15:D15)</f>
        <v/>
      </c>
      <c r="F15" t="inlineStr">
        <is>
          <t>25/26</t>
        </is>
      </c>
      <c r="G15" t="inlineStr">
        <is>
          <t>2025</t>
        </is>
      </c>
    </row>
    <row r="16">
      <c r="A16" t="inlineStr">
        <is>
          <t>01 Oct 25</t>
        </is>
      </c>
      <c r="B16" t="inlineStr">
        <is>
          <t>TO 30SEP2025</t>
        </is>
      </c>
      <c r="C16" t="n">
        <v>9.65</v>
      </c>
      <c r="D16" t="n">
        <v>18.1</v>
      </c>
      <c r="E16">
        <f>SUM(C16:D16)</f>
        <v/>
      </c>
      <c r="F16" t="inlineStr">
        <is>
          <t>25/26</t>
        </is>
      </c>
      <c r="G16" t="inlineStr">
        <is>
          <t>2025</t>
        </is>
      </c>
    </row>
    <row r="17">
      <c r="A17" t="inlineStr">
        <is>
          <t>01 Nov 25</t>
        </is>
      </c>
      <c r="B17" t="inlineStr">
        <is>
          <t>TO 31OCT2025</t>
        </is>
      </c>
      <c r="C17" t="n">
        <v>9.56</v>
      </c>
      <c r="D17" t="n">
        <v>18.47</v>
      </c>
      <c r="E17">
        <f>SUM(C17:D17)</f>
        <v/>
      </c>
      <c r="F17" t="inlineStr">
        <is>
          <t>25/26</t>
        </is>
      </c>
      <c r="G17" t="inlineStr">
        <is>
          <t>2025</t>
        </is>
      </c>
    </row>
    <row r="18">
      <c r="A18" t="inlineStr">
        <is>
          <t>01 Dec 25</t>
        </is>
      </c>
      <c r="B18" t="inlineStr">
        <is>
          <t>TO 30NOV2025</t>
        </is>
      </c>
      <c r="C18" t="n">
        <v>14.08</v>
      </c>
      <c r="D18" t="n">
        <v>28.62</v>
      </c>
      <c r="E18">
        <f>SUM(C18:D18)</f>
        <v/>
      </c>
      <c r="F18" t="inlineStr">
        <is>
          <t>25/26</t>
        </is>
      </c>
      <c r="G18" t="inlineStr">
        <is>
          <t>2025</t>
        </is>
      </c>
    </row>
    <row r="19">
      <c r="A19" t="inlineStr">
        <is>
          <t>01 Jan 26</t>
        </is>
      </c>
      <c r="B19" t="inlineStr">
        <is>
          <t>TO 31DEC2025</t>
        </is>
      </c>
      <c r="C19" t="n">
        <v>11.28</v>
      </c>
      <c r="D19" t="n">
        <v>0</v>
      </c>
      <c r="E19">
        <f>SUM(C19:D19)</f>
        <v/>
      </c>
      <c r="F19" t="inlineStr">
        <is>
          <t>25/26</t>
        </is>
      </c>
      <c r="G19" t="inlineStr">
        <is>
          <t>2026</t>
        </is>
      </c>
    </row>
    <row r="20">
      <c r="A20" t="inlineStr">
        <is>
          <t>01 Feb 26</t>
        </is>
      </c>
      <c r="B20" t="inlineStr">
        <is>
          <t>TO 31JAN2026</t>
        </is>
      </c>
      <c r="C20" t="n">
        <v>8.49</v>
      </c>
      <c r="D20" t="n">
        <v>0</v>
      </c>
      <c r="E20">
        <f>SUM(C20:D20)</f>
        <v/>
      </c>
      <c r="F20" t="inlineStr">
        <is>
          <t>25/26</t>
        </is>
      </c>
      <c r="G20" t="inlineStr">
        <is>
          <t>2026</t>
        </is>
      </c>
    </row>
    <row r="21">
      <c r="A21" t="inlineStr">
        <is>
          <t>01 Mar 26</t>
        </is>
      </c>
      <c r="B21" t="inlineStr">
        <is>
          <t>TO 28FEB2026</t>
        </is>
      </c>
      <c r="C21" t="n">
        <v>7.25</v>
      </c>
      <c r="D21" t="n">
        <v>0</v>
      </c>
      <c r="E21">
        <f>SUM(C21:D21)</f>
        <v/>
      </c>
      <c r="F21" t="inlineStr">
        <is>
          <t>25/26</t>
        </is>
      </c>
      <c r="G21" t="inlineStr">
        <is>
          <t>2026</t>
        </is>
      </c>
    </row>
    <row r="22">
      <c r="A22" t="inlineStr">
        <is>
          <t>01 Apr 26</t>
        </is>
      </c>
      <c r="B22" t="inlineStr">
        <is>
          <t>TO 31MAR2026</t>
        </is>
      </c>
      <c r="C22" t="n">
        <v>6.43</v>
      </c>
      <c r="D22" t="n">
        <v>13.65</v>
      </c>
      <c r="E22">
        <f>SUM(C22:D22)</f>
        <v/>
      </c>
      <c r="F22" t="inlineStr">
        <is>
          <t>25/26</t>
        </is>
      </c>
      <c r="G22" t="inlineStr">
        <is>
          <t>2026</t>
        </is>
      </c>
    </row>
    <row r="24">
      <c r="A24" s="13" t="inlineStr">
        <is>
          <t>Totals by tax year</t>
        </is>
      </c>
      <c r="B24" s="14" t="n"/>
      <c r="C24" s="14" t="n"/>
      <c r="D24" s="14" t="n"/>
      <c r="E24" s="14" t="n"/>
      <c r="F24" s="14" t="n"/>
      <c r="G24" s="14" t="n"/>
    </row>
    <row r="25">
      <c r="B25" s="12" t="inlineStr">
        <is>
          <t>Total (£)</t>
        </is>
      </c>
      <c r="C25" s="12" t="inlineStr">
        <is>
          <t>Coverage</t>
        </is>
      </c>
    </row>
    <row r="26">
      <c r="A26" t="inlineStr">
        <is>
          <t>UK 24/25 (partial — Jan-Apr 2025 credits)</t>
        </is>
      </c>
      <c r="B26">
        <f>SUMIF(F7:F22,"24/25",E7:E22)</f>
        <v/>
      </c>
      <c r="C26" t="inlineStr">
        <is>
          <t>Partial — pre-Jan 2025 not loaded (prior year, not material)</t>
        </is>
      </c>
    </row>
    <row r="27">
      <c r="A27" s="12" t="inlineStr">
        <is>
          <t>UK 25/26 (full 12 months)</t>
        </is>
      </c>
      <c r="B27" s="12">
        <f>SUMIF(F7:F22,"25/26",E7:E22)</f>
        <v/>
      </c>
      <c r="C27" t="inlineStr">
        <is>
          <t>Full year ✓</t>
        </is>
      </c>
    </row>
    <row r="28">
      <c r="A28" s="12" t="inlineStr">
        <is>
          <t>Swedish 2025 (full year)</t>
        </is>
      </c>
      <c r="B28" s="12">
        <f>SUMIF(G7:G22,"2025",E7:E22)</f>
        <v/>
      </c>
      <c r="C28" t="inlineStr">
        <is>
          <t>Full year ✓</t>
        </is>
      </c>
    </row>
    <row r="29">
      <c r="A29" t="inlineStr">
        <is>
          <t>Swedish 2026 partial (Jan-Apr 2026)</t>
        </is>
      </c>
      <c r="B29">
        <f>SUMIF(G7:G22,"2026",E7:E22)</f>
        <v/>
      </c>
      <c r="C29" s="16" t="inlineStr">
        <is>
          <t>Will need more data later</t>
        </is>
      </c>
    </row>
    <row r="31">
      <c r="A31" s="21" t="inlineStr">
        <is>
          <t>Notes:</t>
        </is>
      </c>
    </row>
    <row r="32">
      <c r="A32" s="16" t="inlineStr">
        <is>
          <t>• Each month has a GROSS INTEREST line and (sometimes) an ADDED GROSS INTEREST line — both credit the account.</t>
        </is>
      </c>
    </row>
    <row r="33">
      <c r="A33" s="16" t="inlineStr">
        <is>
          <t>• 01 Apr 25 credit falls in UK 24/25 (before 6 April cutoff); 01 Apr 26 credit falls in UK 25/26.</t>
        </is>
      </c>
    </row>
    <row r="34">
      <c r="A34" s="16" t="inlineStr">
        <is>
          <t>• UK 25/26 PSA covers £1,000; with ~£242 interest, no UK tax due — but report on SA100 box 2.</t>
        </is>
      </c>
    </row>
    <row r="35">
      <c r="A35" s="16" t="inlineStr">
        <is>
          <t>• Sweden taxes credited interest at 30% capital rate (Box 7.2 on INK1).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7" customWidth="1" style="4" min="3" max="3"/>
    <col width="15" customWidth="1" style="4" min="4" max="4"/>
  </cols>
  <sheetData>
    <row r="1">
      <c r="A1" s="11" t="inlineStr">
        <is>
          <t>76a Ingelow Road — Investment Yield Analysis</t>
        </is>
      </c>
    </row>
    <row r="2">
      <c r="A2" s="16" t="inlineStr">
        <is>
          <t>Assuming gross-of-commission position for Swedish tax (£1,215 more conservative)</t>
        </is>
      </c>
    </row>
    <row r="4">
      <c r="A4" s="13" t="inlineStr">
        <is>
          <t>Inputs (edit to update yields)</t>
        </is>
      </c>
      <c r="B4" s="14" t="n"/>
      <c r="C4" s="14" t="n"/>
      <c r="D4" s="14" t="n"/>
      <c r="E4" s="14" t="n"/>
    </row>
    <row r="5">
      <c r="A5" t="inlineStr">
        <is>
          <t>Property purchase price (2018)</t>
        </is>
      </c>
      <c r="B5" s="24" t="n">
        <v>635000</v>
      </c>
    </row>
    <row r="6">
      <c r="A6" t="inlineStr">
        <is>
          <t>Years held (to 2025)</t>
        </is>
      </c>
      <c r="B6" s="24" t="n">
        <v>7</v>
      </c>
    </row>
    <row r="7">
      <c r="A7" t="inlineStr">
        <is>
          <t>Current property value</t>
        </is>
      </c>
      <c r="B7" s="24" t="n">
        <v>800000</v>
      </c>
    </row>
    <row r="8">
      <c r="A8" t="inlineStr">
        <is>
          <t>Current mortgage outstanding (interest only)</t>
        </is>
      </c>
      <c r="B8" s="24" t="n">
        <v>178764.94</v>
      </c>
    </row>
    <row r="9">
      <c r="A9" s="12" t="inlineStr">
        <is>
          <t>Equity in property (= value − mortgage)</t>
        </is>
      </c>
      <c r="B9" s="15">
        <f>$B$7-$B$8</f>
        <v/>
      </c>
    </row>
    <row r="10">
      <c r="A10" t="inlineStr">
        <is>
          <t>Eventual CGT assumption (on current £165k appreciation)</t>
        </is>
      </c>
      <c r="B10" s="24" t="n">
        <v>24000</v>
      </c>
    </row>
    <row r="12">
      <c r="A12" s="13" t="inlineStr">
        <is>
          <t>Historical CAGR (from 2018 purchase)</t>
        </is>
      </c>
      <c r="B12" s="14" t="n"/>
      <c r="C12" s="14" t="n"/>
      <c r="D12" s="14" t="n"/>
      <c r="E12" s="14" t="n"/>
    </row>
    <row r="13">
      <c r="A13" t="inlineStr">
        <is>
          <t>Total appreciation (current − purchase)</t>
        </is>
      </c>
      <c r="B13">
        <f>$B$7-$B$5</f>
        <v/>
      </c>
    </row>
    <row r="14">
      <c r="A14" t="inlineStr">
        <is>
          <t>Effective CGT rate on appreciation</t>
        </is>
      </c>
      <c r="B14" s="25">
        <f>$B$10/($B$7-$B$5)</f>
        <v/>
      </c>
    </row>
    <row r="15">
      <c r="A15" s="12" t="inlineStr">
        <is>
          <t>CAGR (annualised)</t>
        </is>
      </c>
      <c r="B15" s="26">
        <f>($B$7/$B$5)^(1/$B$6)-1</f>
        <v/>
      </c>
    </row>
    <row r="16">
      <c r="A16" t="inlineStr">
        <is>
          <t>Forward annual appreciation (at CAGR × current value)</t>
        </is>
      </c>
      <c r="B16">
        <f>$B$7*$B$15</f>
        <v/>
      </c>
    </row>
    <row r="17">
      <c r="A17" t="inlineStr">
        <is>
          <t>Forward appreciation AFTER CGT</t>
        </is>
      </c>
      <c r="B17">
        <f>$B$16*(1-$B$14)</f>
        <v/>
      </c>
    </row>
    <row r="19">
      <c r="A19" s="13" t="inlineStr">
        <is>
          <t>Income statement 2025 (gross-of-commission Swedish, product fee in 2025)</t>
        </is>
      </c>
      <c r="B19" s="14" t="n"/>
      <c r="C19" s="14" t="n"/>
      <c r="D19" s="14" t="n"/>
      <c r="E19" s="14" t="n"/>
    </row>
    <row r="20">
      <c r="B20" s="12" t="inlineStr">
        <is>
          <t>GBP</t>
        </is>
      </c>
    </row>
    <row r="21">
      <c r="A21" t="inlineStr">
        <is>
          <t>Gross rental income (UK 25/26)</t>
        </is>
      </c>
      <c r="B21">
        <f>'Tax 25-26'!$B$16</f>
        <v/>
      </c>
    </row>
    <row r="22">
      <c r="A22" t="inlineStr">
        <is>
          <t>Knight Frank commission</t>
        </is>
      </c>
      <c r="B22">
        <f>'Tax 25-26'!$B$17</f>
        <v/>
      </c>
    </row>
    <row r="23">
      <c r="A23" t="inlineStr">
        <is>
          <t>Repairs &amp; maintenance</t>
        </is>
      </c>
      <c r="B23">
        <f>'Tax 25-26'!$B$19</f>
        <v/>
      </c>
    </row>
    <row r="24">
      <c r="A24" t="inlineStr">
        <is>
          <t>Mortgage interest</t>
        </is>
      </c>
      <c r="B24">
        <f>-'Tax 25-26'!$B$23</f>
        <v/>
      </c>
    </row>
    <row r="25">
      <c r="A25" t="inlineStr">
        <is>
          <t>Mortgage product fee (one-off, 2025)</t>
        </is>
      </c>
      <c r="B25">
        <f>-'Tax 25-26'!$B$24</f>
        <v/>
      </c>
    </row>
    <row r="26">
      <c r="A26" t="inlineStr">
        <is>
          <t>UK tax on rental (net of finance credit)</t>
        </is>
      </c>
      <c r="B26">
        <f>-'Tax 25-26'!$B$32</f>
        <v/>
      </c>
    </row>
    <row r="27">
      <c r="A27" t="inlineStr">
        <is>
          <t>Swedish tax on rental (gross-of-commission base, less FTC)</t>
        </is>
      </c>
      <c r="B27">
        <f>-((0.80*'Tax 25-26'!$B$37-'Tax 25-26'!$B$10/'Tax 25-26'!$B$4-'Tax 25-26'!$B$51)*0.30-'Tax 25-26'!$B$56)</f>
        <v/>
      </c>
    </row>
    <row r="28">
      <c r="A28" s="12" t="inlineStr">
        <is>
          <t>Net cash income after all costs and tax (2025)</t>
        </is>
      </c>
      <c r="B28" s="17">
        <f>$B$21+$B$22+$B$23+$B$24+$B$25+$B$26+$B$27</f>
        <v/>
      </c>
    </row>
    <row r="30">
      <c r="A30" s="13" t="inlineStr">
        <is>
          <t>Yield metrics</t>
        </is>
      </c>
      <c r="B30" s="14" t="n"/>
      <c r="C30" s="14" t="n"/>
      <c r="D30" s="14" t="n"/>
      <c r="E30" s="14" t="n"/>
    </row>
    <row r="31">
      <c r="B31" s="12" t="inlineStr">
        <is>
          <t>Value</t>
        </is>
      </c>
      <c r="C31" s="12" t="inlineStr">
        <is>
          <t>% on current value</t>
        </is>
      </c>
      <c r="D31" s="12" t="inlineStr">
        <is>
          <t>% on equity</t>
        </is>
      </c>
    </row>
    <row r="32">
      <c r="A32" t="inlineStr">
        <is>
          <t>Gross yield (rent / value)</t>
        </is>
      </c>
      <c r="B32">
        <f>$B$21</f>
        <v/>
      </c>
      <c r="C32" s="25">
        <f>B32/$B$7</f>
        <v/>
      </c>
    </row>
    <row r="33">
      <c r="A33" t="inlineStr">
        <is>
          <t>Net Operating Income (NOI — pre-leverage, pre-tax)</t>
        </is>
      </c>
      <c r="B33">
        <f>$B$21+$B$22+$B$23</f>
        <v/>
      </c>
      <c r="C33" s="25">
        <f>B33/$B$7</f>
        <v/>
      </c>
    </row>
    <row r="34">
      <c r="A34" t="inlineStr">
        <is>
          <t>Net cash income (post all costs + tax, 2025)</t>
        </is>
      </c>
      <c r="B34">
        <f>$B$28</f>
        <v/>
      </c>
      <c r="C34" s="25">
        <f>B34/$B$7</f>
        <v/>
      </c>
      <c r="D34" s="25">
        <f>B34/$B$9</f>
        <v/>
      </c>
    </row>
    <row r="36">
      <c r="A36" t="inlineStr">
        <is>
          <t>Steady-state cash income (excl. product fee)</t>
        </is>
      </c>
      <c r="B36">
        <f>$B$28-$B$25</f>
        <v/>
      </c>
      <c r="C36" s="25">
        <f>B36/$B$7</f>
        <v/>
      </c>
      <c r="D36" s="25">
        <f>B36/$B$9</f>
        <v/>
      </c>
    </row>
    <row r="38">
      <c r="A38" t="inlineStr">
        <is>
          <t>Forward annual appreciation (CAGR × current value)</t>
        </is>
      </c>
      <c r="B38">
        <f>$B$16</f>
        <v/>
      </c>
      <c r="C38" s="25">
        <f>B38/$B$7</f>
        <v/>
      </c>
      <c r="D38" s="25">
        <f>B38/$B$9</f>
        <v/>
      </c>
    </row>
    <row r="39">
      <c r="A39" s="12" t="inlineStr">
        <is>
          <t>Total return — pre-CGT (steady cash + forward appreciation)</t>
        </is>
      </c>
      <c r="B39" s="17">
        <f>$B$36+$B$16</f>
        <v/>
      </c>
      <c r="C39" s="27">
        <f>B39/$B$7</f>
        <v/>
      </c>
      <c r="D39" s="28">
        <f>B39/$B$9</f>
        <v/>
      </c>
    </row>
    <row r="40">
      <c r="A40" s="12" t="inlineStr">
        <is>
          <t>Total return — POST-CGT (steady cash + post-CGT appreciation)</t>
        </is>
      </c>
      <c r="B40" s="17">
        <f>$B$36+$B$17</f>
        <v/>
      </c>
      <c r="C40" s="27">
        <f>B40/$B$7</f>
        <v/>
      </c>
      <c r="D40" s="28">
        <f>B40/$B$9</f>
        <v/>
      </c>
    </row>
    <row r="42">
      <c r="A42" s="13" t="inlineStr">
        <is>
          <t>Benchmarks (rough reference)</t>
        </is>
      </c>
      <c r="B42" s="14" t="n"/>
      <c r="C42" s="14" t="n"/>
      <c r="D42" s="14" t="n"/>
      <c r="E42" s="14" t="n"/>
    </row>
    <row r="43">
      <c r="A43" s="16" t="inlineStr">
        <is>
          <t>UK 10-year gilts (risk-free)</t>
        </is>
      </c>
      <c r="C43" s="16" t="inlineStr">
        <is>
          <t>~4-5%</t>
        </is>
      </c>
    </row>
    <row r="44">
      <c r="A44" s="16" t="inlineStr">
        <is>
          <t>UK cash savings (instant access)</t>
        </is>
      </c>
      <c r="C44" s="16" t="inlineStr">
        <is>
          <t>~4-5%</t>
        </is>
      </c>
    </row>
    <row r="45">
      <c r="A45" s="16" t="inlineStr">
        <is>
          <t>UK FTSE 100 long-term nominal</t>
        </is>
      </c>
      <c r="C45" s="16" t="inlineStr">
        <is>
          <t>~7-8%</t>
        </is>
      </c>
    </row>
    <row r="46">
      <c r="A46" s="16" t="inlineStr">
        <is>
          <t>Global equity index (long-term)</t>
        </is>
      </c>
      <c r="C46" s="16" t="inlineStr">
        <is>
          <t>~7-9%</t>
        </is>
      </c>
    </row>
    <row r="47">
      <c r="A47" s="16" t="inlineStr">
        <is>
          <t>Your Vanguard ISA return (2020-2025)</t>
        </is>
      </c>
      <c r="C47" s="16" t="inlineStr">
        <is>
          <t>~10%/yr</t>
        </is>
      </c>
    </row>
    <row r="49">
      <c r="A49" s="13" t="inlineStr">
        <is>
          <t>Notes</t>
        </is>
      </c>
      <c r="B49" s="14" t="n"/>
      <c r="C49" s="14" t="n"/>
      <c r="D49" s="14" t="n"/>
      <c r="E49" s="14" t="n"/>
    </row>
    <row r="50">
      <c r="A50" s="16" t="inlineStr">
        <is>
          <t>• 'Cash-on-cash' divides by equity, reflecting that you've only got ~£621k of own money in the flat.</t>
        </is>
      </c>
    </row>
    <row r="51">
      <c r="A51" s="16" t="inlineStr">
        <is>
          <t>• 'NOI yield' is pre-leverage — useful for comparing flats to other property investments before mortgage effects.</t>
        </is>
      </c>
    </row>
    <row r="52">
      <c r="A52" s="16" t="inlineStr">
        <is>
          <t>• Total return reflects assumption that 2018-2025 CAGR continues forward. London may not.</t>
        </is>
      </c>
    </row>
    <row r="53">
      <c r="A53" s="16" t="inlineStr">
        <is>
          <t>• Post-CGT applies the implied 14.5% effective CGT rate (£24k on £165k gain) to forward appreciation.</t>
        </is>
      </c>
    </row>
    <row r="54">
      <c r="A54" s="16" t="inlineStr">
        <is>
          <t>• Excludes: voids, refurbishment beyond annual maintenance, mortgage refinance risk after May 2027 (rate may rise from 4.38%).</t>
        </is>
      </c>
    </row>
    <row r="55">
      <c r="A55" s="16" t="inlineStr">
        <is>
          <t>• Excludes: opportunity cost of equity. If £621k earned 5% in gilts = £31k/year passive — almost matches the steady-state cash yield.</t>
        </is>
      </c>
    </row>
    <row r="58">
      <c r="A58" s="13" t="inlineStr">
        <is>
          <t>Zero-appreciation scenario (assume £0 capital growth)</t>
        </is>
      </c>
      <c r="B58" s="14" t="n"/>
      <c r="C58" s="14" t="n"/>
      <c r="D58" s="14" t="n"/>
      <c r="E58" s="14" t="n"/>
    </row>
    <row r="59">
      <c r="A59" s="16" t="inlineStr">
        <is>
          <t>(Conservative — reflects flat-to-down London market recent years)</t>
        </is>
      </c>
    </row>
    <row r="61">
      <c r="B61" s="12" t="inlineStr">
        <is>
          <t>Amount</t>
        </is>
      </c>
      <c r="C61" s="12" t="inlineStr">
        <is>
          <t>% on value</t>
        </is>
      </c>
      <c r="D61" s="12" t="inlineStr">
        <is>
          <t>% on equity</t>
        </is>
      </c>
    </row>
    <row r="62">
      <c r="A62" t="inlineStr">
        <is>
          <t>Total return — 2025 cash only (with fee, 0% appreciation)</t>
        </is>
      </c>
      <c r="B62">
        <f>$B$34</f>
        <v/>
      </c>
      <c r="C62" s="25">
        <f>B62/$B$7</f>
        <v/>
      </c>
      <c r="D62" s="25">
        <f>B62/$B$9</f>
        <v/>
      </c>
    </row>
    <row r="63">
      <c r="A63" s="12" t="inlineStr">
        <is>
          <t>Total return — steady-state cash only (excl fee, 0% appreciation)</t>
        </is>
      </c>
      <c r="B63" s="17">
        <f>$B$36</f>
        <v/>
      </c>
      <c r="C63" s="28">
        <f>B63/$B$7</f>
        <v/>
      </c>
      <c r="D63" s="28">
        <f>B63/$B$9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2" customWidth="1" style="4" min="1" max="1"/>
    <col width="13" customWidth="1" style="4" min="2" max="2"/>
    <col width="13" customWidth="1" style="4" min="3" max="3"/>
    <col width="11" customWidth="1" style="4" min="4" max="4"/>
    <col width="12" customWidth="1" style="4" min="5" max="5"/>
    <col width="14" customWidth="1" style="4" min="6" max="6"/>
    <col width="18" customWidth="1" style="4" min="7" max="7"/>
  </cols>
  <sheetData>
    <row r="1" ht="22" customHeight="1" s="4">
      <c r="A1" s="29" t="inlineStr">
        <is>
          <t>Vanguard ISA — Capital Gains 2025 (genomsnittsmetoden, per fund)</t>
        </is>
      </c>
    </row>
    <row r="2"/>
    <row r="3">
      <c r="A3" s="16" t="inlineStr">
        <is>
          <t>Per Swedish tax law (44 kap. 14 § IL): omkostnadsbelopp = original acquisition cost in SEK at original-date FX. No rebasing on residency move.</t>
        </is>
      </c>
    </row>
    <row r="4">
      <c r="A4" s="16" t="inlineStr">
        <is>
          <t>Genomsnittsmetoden applied per security. 4 funds traded: FTSE 100 UT Acc, VUSA, VMID, VERX. Pre-residency partial sale 15 Nov 2021 (FTSE 100) excluded.</t>
        </is>
      </c>
    </row>
    <row r="5">
      <c r="A5" s="16" t="inlineStr">
        <is>
          <t>FX = Riksbanken monthly Medel GBP/SEK (all verified 19 May 2026). Edit yellow cells to override.</t>
        </is>
      </c>
    </row>
    <row r="6">
      <c r="A6" s="16" t="inlineStr">
        <is>
          <t>Sources: Vanguard ISA VG0208845 transaction history PDFs (19 May 2026); Riksbanken sok-rantor-och-valutakurser.</t>
        </is>
      </c>
    </row>
    <row r="7"/>
    <row r="8"/>
    <row r="9">
      <c r="A9" s="30" t="inlineStr">
        <is>
          <t>K4 avsnitt A — rows to enter on Skatteverket e-tjänst</t>
        </is>
      </c>
    </row>
    <row r="10">
      <c r="A10" s="31" t="inlineStr">
        <is>
          <t>Antal</t>
        </is>
      </c>
      <c r="B10" s="31" t="inlineStr">
        <is>
          <t>Beteckning</t>
        </is>
      </c>
      <c r="C10" s="31" t="inlineStr">
        <is>
          <t>Försäljningspris (SEK)</t>
        </is>
      </c>
      <c r="D10" s="31" t="inlineStr">
        <is>
          <t>Omkostnadsbelopp (SEK)</t>
        </is>
      </c>
      <c r="E10" s="31" t="inlineStr">
        <is>
          <t>Vinst (SEK)</t>
        </is>
      </c>
    </row>
    <row r="11">
      <c r="A11" s="32">
        <f>$F$75</f>
        <v/>
      </c>
      <c r="B11" t="inlineStr">
        <is>
          <t>FTSE 100 Index Unit Trust Accumulation</t>
        </is>
      </c>
      <c r="C11" s="33">
        <f>$F$76</f>
        <v/>
      </c>
      <c r="D11" s="33">
        <f>$F$77</f>
        <v/>
      </c>
      <c r="E11" s="33">
        <f>$F$78</f>
        <v/>
      </c>
    </row>
    <row r="12">
      <c r="A12" s="32">
        <f>$F$115</f>
        <v/>
      </c>
      <c r="B12" t="inlineStr">
        <is>
          <t>S&amp;P 500 UCITS ETF — Distributing (VUSA)</t>
        </is>
      </c>
      <c r="C12" s="33">
        <f>$F$116</f>
        <v/>
      </c>
      <c r="D12" s="33">
        <f>$F$117</f>
        <v/>
      </c>
      <c r="E12" s="33">
        <f>$F$118</f>
        <v/>
      </c>
    </row>
    <row r="13">
      <c r="A13" s="32">
        <f>$F$136</f>
        <v/>
      </c>
      <c r="B13" t="inlineStr">
        <is>
          <t>FTSE 250 UCITS ETF — Distributing (VMID)</t>
        </is>
      </c>
      <c r="C13" s="33">
        <f>$F$137</f>
        <v/>
      </c>
      <c r="D13" s="33">
        <f>$F$138</f>
        <v/>
      </c>
      <c r="E13" s="33">
        <f>$F$139</f>
        <v/>
      </c>
    </row>
    <row r="14">
      <c r="A14" s="32">
        <f>$F$156</f>
        <v/>
      </c>
      <c r="B14" t="inlineStr">
        <is>
          <t>FTSE Developed Europe ex UK UCITS ETF — Distributing (VERX)</t>
        </is>
      </c>
      <c r="C14" s="33">
        <f>$F$157</f>
        <v/>
      </c>
      <c r="D14" s="33">
        <f>$F$158</f>
        <v/>
      </c>
      <c r="E14" s="33">
        <f>$F$159</f>
        <v/>
      </c>
    </row>
    <row r="15">
      <c r="A15" s="34" t="n"/>
      <c r="B15" s="35" t="inlineStr">
        <is>
          <t>Total</t>
        </is>
      </c>
      <c r="C15" s="36">
        <f>SUM(C11:C14)</f>
        <v/>
      </c>
      <c r="D15" s="36">
        <f>SUM(D11:D14)</f>
        <v/>
      </c>
      <c r="E15" s="37">
        <f>SUM(E11:E14)</f>
        <v/>
      </c>
    </row>
    <row r="16"/>
    <row r="17">
      <c r="A17" s="30" t="inlineStr">
        <is>
          <t>Box 7.4 + Swedish tax</t>
        </is>
      </c>
    </row>
    <row r="18">
      <c r="A18" s="12" t="inlineStr">
        <is>
          <t>Box 7.4 — Vinst fondandelar m.m. (SEK)</t>
        </is>
      </c>
      <c r="C18" s="38">
        <f>E15</f>
        <v/>
      </c>
    </row>
    <row r="19">
      <c r="A19" t="inlineStr">
        <is>
          <t>Swedish capital tax rate</t>
        </is>
      </c>
      <c r="C19" s="25" t="n">
        <v>0.3</v>
      </c>
    </row>
    <row r="20">
      <c r="A20" s="12" t="inlineStr">
        <is>
          <t>Tax on Vanguard gain (SEK)</t>
        </is>
      </c>
      <c r="C20" s="17">
        <f>C18*C19</f>
        <v/>
      </c>
    </row>
    <row r="22">
      <c r="A22" s="30" t="inlineStr">
        <is>
          <t>FX rates — Riksbanken monthly Medel GBP/SEK (verified)</t>
        </is>
      </c>
    </row>
    <row r="23">
      <c r="A23" s="31" t="inlineStr">
        <is>
          <t>Month</t>
        </is>
      </c>
      <c r="B23" s="31" t="inlineStr">
        <is>
          <t>FX rate (SEK per £1)</t>
        </is>
      </c>
      <c r="C23" s="31" t="inlineStr">
        <is>
          <t>Source</t>
        </is>
      </c>
      <c r="D23" s="39" t="n"/>
      <c r="E23" s="39" t="n"/>
      <c r="F23" s="39" t="n"/>
    </row>
    <row r="24">
      <c r="A24" t="inlineStr">
        <is>
          <t>Sep 2020</t>
        </is>
      </c>
      <c r="B24" s="40" t="n">
        <v>11.45956</v>
      </c>
      <c r="C24" t="inlineStr">
        <is>
          <t>Riksbanken Medel</t>
        </is>
      </c>
    </row>
    <row r="25">
      <c r="A25" t="inlineStr">
        <is>
          <t>Oct 2020</t>
        </is>
      </c>
      <c r="B25" s="40" t="n">
        <v>11.47127</v>
      </c>
      <c r="C25" t="inlineStr">
        <is>
          <t>Riksbanken Medel</t>
        </is>
      </c>
    </row>
    <row r="26">
      <c r="A26" t="inlineStr">
        <is>
          <t>Nov 2020</t>
        </is>
      </c>
      <c r="B26" s="40" t="n">
        <v>11.41785</v>
      </c>
      <c r="C26" t="inlineStr">
        <is>
          <t>Riksbanken Medel</t>
        </is>
      </c>
    </row>
    <row r="27">
      <c r="A27" t="inlineStr">
        <is>
          <t>Dec 2020</t>
        </is>
      </c>
      <c r="B27" s="40" t="n">
        <v>11.23895</v>
      </c>
      <c r="C27" t="inlineStr">
        <is>
          <t>Riksbanken Medel</t>
        </is>
      </c>
    </row>
    <row r="28">
      <c r="A28" t="inlineStr">
        <is>
          <t>Jan 2021</t>
        </is>
      </c>
      <c r="B28" s="40" t="n">
        <v>11.31239</v>
      </c>
      <c r="C28" t="inlineStr">
        <is>
          <t>Riksbanken Medel</t>
        </is>
      </c>
    </row>
    <row r="29">
      <c r="A29" t="inlineStr">
        <is>
          <t>Feb 2021</t>
        </is>
      </c>
      <c r="B29" s="40" t="n">
        <v>11.5525</v>
      </c>
      <c r="C29" t="inlineStr">
        <is>
          <t>Riksbanken Medel</t>
        </is>
      </c>
    </row>
    <row r="30">
      <c r="A30" t="inlineStr">
        <is>
          <t>Mar 2021</t>
        </is>
      </c>
      <c r="B30" s="40" t="n">
        <v>11.83967</v>
      </c>
      <c r="C30" t="inlineStr">
        <is>
          <t>Riksbanken Medel</t>
        </is>
      </c>
    </row>
    <row r="31">
      <c r="A31" t="inlineStr">
        <is>
          <t>Apr 2021</t>
        </is>
      </c>
      <c r="B31" s="40" t="n">
        <v>11.74595</v>
      </c>
      <c r="C31" t="inlineStr">
        <is>
          <t>Riksbanken Medel</t>
        </is>
      </c>
    </row>
    <row r="32">
      <c r="A32" t="inlineStr">
        <is>
          <t>May 2021</t>
        </is>
      </c>
      <c r="B32" s="40" t="n">
        <v>11.7571</v>
      </c>
      <c r="C32" t="inlineStr">
        <is>
          <t>Riksbanken Medel</t>
        </is>
      </c>
    </row>
    <row r="33">
      <c r="A33" t="inlineStr">
        <is>
          <t>Jun 2021</t>
        </is>
      </c>
      <c r="B33" s="40" t="n">
        <v>11.77512</v>
      </c>
      <c r="C33" t="inlineStr">
        <is>
          <t>Riksbanken Medel</t>
        </is>
      </c>
    </row>
    <row r="34">
      <c r="A34" t="inlineStr">
        <is>
          <t>Jul 2021</t>
        </is>
      </c>
      <c r="B34" s="40" t="n">
        <v>11.90743</v>
      </c>
      <c r="C34" t="inlineStr">
        <is>
          <t>Riksbanken Medel</t>
        </is>
      </c>
    </row>
    <row r="35">
      <c r="A35" t="inlineStr">
        <is>
          <t>Aug 2021</t>
        </is>
      </c>
      <c r="B35" s="40" t="n">
        <v>11.97744</v>
      </c>
      <c r="C35" t="inlineStr">
        <is>
          <t>Riksbanken Medel</t>
        </is>
      </c>
    </row>
    <row r="36">
      <c r="A36" t="inlineStr">
        <is>
          <t>Sep 2021</t>
        </is>
      </c>
      <c r="B36" s="40" t="n">
        <v>11.87028</v>
      </c>
      <c r="C36" t="inlineStr">
        <is>
          <t>Riksbanken Medel</t>
        </is>
      </c>
    </row>
    <row r="37">
      <c r="A37" t="inlineStr">
        <is>
          <t>Oct 2021</t>
        </is>
      </c>
      <c r="B37" s="40" t="n">
        <v>11.86876</v>
      </c>
      <c r="C37" t="inlineStr">
        <is>
          <t>Riksbanken Medel</t>
        </is>
      </c>
    </row>
    <row r="38">
      <c r="A38" t="inlineStr">
        <is>
          <t>Nov 2021</t>
        </is>
      </c>
      <c r="B38" s="40" t="n">
        <v>11.84728</v>
      </c>
      <c r="C38" t="inlineStr">
        <is>
          <t>Riksbanken Medel</t>
        </is>
      </c>
    </row>
    <row r="39">
      <c r="A39" t="inlineStr">
        <is>
          <t>Jun 2025</t>
        </is>
      </c>
      <c r="B39" s="40" t="n">
        <v>12.9485</v>
      </c>
      <c r="C39" t="inlineStr">
        <is>
          <t>Riksbanken Medel</t>
        </is>
      </c>
    </row>
    <row r="41">
      <c r="A41" s="30" t="inlineStr">
        <is>
          <t>Fund: FTSE 100 Index Unit Trust Accumulation</t>
        </is>
      </c>
    </row>
    <row r="42">
      <c r="A42" s="41" t="inlineStr">
        <is>
          <t>Buys</t>
        </is>
      </c>
    </row>
    <row r="43">
      <c r="A43" s="31" t="inlineStr">
        <is>
          <t>Date</t>
        </is>
      </c>
      <c r="B43" s="31" t="inlineStr">
        <is>
          <t>Units</t>
        </is>
      </c>
      <c r="C43" s="31" t="inlineStr">
        <is>
          <t>GBP</t>
        </is>
      </c>
      <c r="D43" s="31" t="inlineStr">
        <is>
          <t>FX month</t>
        </is>
      </c>
      <c r="E43" s="31" t="inlineStr">
        <is>
          <t>FX rate</t>
        </is>
      </c>
      <c r="F43" s="31" t="inlineStr">
        <is>
          <t>SEK cost</t>
        </is>
      </c>
    </row>
    <row r="44">
      <c r="A44" t="inlineStr">
        <is>
          <t>2020-09-25</t>
        </is>
      </c>
      <c r="B44" s="32" t="n">
        <v>0.9826</v>
      </c>
      <c r="C44" s="42" t="n">
        <v>100</v>
      </c>
      <c r="D44" t="inlineStr">
        <is>
          <t>Sep 2020</t>
        </is>
      </c>
      <c r="E44" s="43">
        <f>$B$24</f>
        <v/>
      </c>
      <c r="F44" s="33">
        <f>C44*E44</f>
        <v/>
      </c>
    </row>
    <row r="45">
      <c r="A45" t="inlineStr">
        <is>
          <t>2020-09-29</t>
        </is>
      </c>
      <c r="B45" s="32" t="n">
        <v>12.597</v>
      </c>
      <c r="C45" s="42" t="n">
        <v>1254.41</v>
      </c>
      <c r="D45" t="inlineStr">
        <is>
          <t>Sep 2020</t>
        </is>
      </c>
      <c r="E45" s="43">
        <f>$B$24</f>
        <v/>
      </c>
      <c r="F45" s="33">
        <f>C45*E45</f>
        <v/>
      </c>
    </row>
    <row r="46">
      <c r="A46" t="inlineStr">
        <is>
          <t>2020-11-02</t>
        </is>
      </c>
      <c r="B46" s="32" t="n">
        <v>1.0334</v>
      </c>
      <c r="C46" s="42" t="n">
        <v>100</v>
      </c>
      <c r="D46" t="inlineStr">
        <is>
          <t>Nov 2020</t>
        </is>
      </c>
      <c r="E46" s="43">
        <f>$B$26</f>
        <v/>
      </c>
      <c r="F46" s="33">
        <f>C46*E46</f>
        <v/>
      </c>
    </row>
    <row r="47">
      <c r="A47" t="inlineStr">
        <is>
          <t>2020-12-01</t>
        </is>
      </c>
      <c r="B47" s="32" t="n">
        <v>0.9124</v>
      </c>
      <c r="C47" s="42" t="n">
        <v>100</v>
      </c>
      <c r="D47" t="inlineStr">
        <is>
          <t>Dec 2020</t>
        </is>
      </c>
      <c r="E47" s="43">
        <f>$B$27</f>
        <v/>
      </c>
      <c r="F47" s="33">
        <f>C47*E47</f>
        <v/>
      </c>
    </row>
    <row r="48">
      <c r="A48" t="inlineStr">
        <is>
          <t>2021-01-04</t>
        </is>
      </c>
      <c r="B48" s="32" t="n">
        <v>0.8808</v>
      </c>
      <c r="C48" s="42" t="n">
        <v>100</v>
      </c>
      <c r="D48" t="inlineStr">
        <is>
          <t>Jan 2021</t>
        </is>
      </c>
      <c r="E48" s="43">
        <f>$B$28</f>
        <v/>
      </c>
      <c r="F48" s="33">
        <f>C48*E48</f>
        <v/>
      </c>
    </row>
    <row r="49">
      <c r="A49" t="inlineStr">
        <is>
          <t>2021-02-01</t>
        </is>
      </c>
      <c r="B49" s="32" t="n">
        <v>3.5798</v>
      </c>
      <c r="C49" s="42" t="n">
        <v>400</v>
      </c>
      <c r="D49" t="inlineStr">
        <is>
          <t>Feb 2021</t>
        </is>
      </c>
      <c r="E49" s="43">
        <f>$B$29</f>
        <v/>
      </c>
      <c r="F49" s="33">
        <f>C49*E49</f>
        <v/>
      </c>
    </row>
    <row r="50">
      <c r="A50" t="inlineStr">
        <is>
          <t>2021-02-03</t>
        </is>
      </c>
      <c r="B50" s="32" t="n">
        <v>8.897600000000001</v>
      </c>
      <c r="C50" s="42" t="n">
        <v>1000</v>
      </c>
      <c r="D50" t="inlineStr">
        <is>
          <t>Feb 2021</t>
        </is>
      </c>
      <c r="E50" s="43">
        <f>$B$29</f>
        <v/>
      </c>
      <c r="F50" s="33">
        <f>C50*E50</f>
        <v/>
      </c>
    </row>
    <row r="51">
      <c r="A51" t="inlineStr">
        <is>
          <t>2021-02-04</t>
        </is>
      </c>
      <c r="B51" s="32" t="n">
        <v>8.897600000000001</v>
      </c>
      <c r="C51" s="42" t="n">
        <v>1000</v>
      </c>
      <c r="D51" t="inlineStr">
        <is>
          <t>Feb 2021</t>
        </is>
      </c>
      <c r="E51" s="43">
        <f>$B$29</f>
        <v/>
      </c>
      <c r="F51" s="33">
        <f>C51*E51</f>
        <v/>
      </c>
    </row>
    <row r="52">
      <c r="A52" t="inlineStr">
        <is>
          <t>2021-03-01</t>
        </is>
      </c>
      <c r="B52" s="32" t="n">
        <v>3.5005</v>
      </c>
      <c r="C52" s="42" t="n">
        <v>400</v>
      </c>
      <c r="D52" t="inlineStr">
        <is>
          <t>Mar 2021</t>
        </is>
      </c>
      <c r="E52" s="43">
        <f>$B$30</f>
        <v/>
      </c>
      <c r="F52" s="33">
        <f>C52*E52</f>
        <v/>
      </c>
    </row>
    <row r="53">
      <c r="A53" t="inlineStr">
        <is>
          <t>2021-03-05</t>
        </is>
      </c>
      <c r="B53" s="32" t="n">
        <v>4.3373</v>
      </c>
      <c r="C53" s="42" t="n">
        <v>500</v>
      </c>
      <c r="D53" t="inlineStr">
        <is>
          <t>Mar 2021</t>
        </is>
      </c>
      <c r="E53" s="43">
        <f>$B$30</f>
        <v/>
      </c>
      <c r="F53" s="33">
        <f>C53*E53</f>
        <v/>
      </c>
    </row>
    <row r="54">
      <c r="A54" t="inlineStr">
        <is>
          <t>2021-04-01</t>
        </is>
      </c>
      <c r="B54" s="32" t="n">
        <v>3.4025</v>
      </c>
      <c r="C54" s="42" t="n">
        <v>400</v>
      </c>
      <c r="D54" t="inlineStr">
        <is>
          <t>Apr 2021</t>
        </is>
      </c>
      <c r="E54" s="43">
        <f>$B$31</f>
        <v/>
      </c>
      <c r="F54" s="33">
        <f>C54*E54</f>
        <v/>
      </c>
    </row>
    <row r="55">
      <c r="A55" t="inlineStr">
        <is>
          <t>2021-04-20</t>
        </is>
      </c>
      <c r="B55" s="32" t="n">
        <v>6.2246</v>
      </c>
      <c r="C55" s="42" t="n">
        <v>750</v>
      </c>
      <c r="D55" t="inlineStr">
        <is>
          <t>Apr 2021</t>
        </is>
      </c>
      <c r="E55" s="43">
        <f>$B$31</f>
        <v/>
      </c>
      <c r="F55" s="33">
        <f>C55*E55</f>
        <v/>
      </c>
    </row>
    <row r="56">
      <c r="A56" t="inlineStr">
        <is>
          <t>2021-05-04</t>
        </is>
      </c>
      <c r="B56" s="32" t="n">
        <v>3.319</v>
      </c>
      <c r="C56" s="42" t="n">
        <v>400</v>
      </c>
      <c r="D56" t="inlineStr">
        <is>
          <t>May 2021</t>
        </is>
      </c>
      <c r="E56" s="43">
        <f>$B$32</f>
        <v/>
      </c>
      <c r="F56" s="33">
        <f>C56*E56</f>
        <v/>
      </c>
    </row>
    <row r="57">
      <c r="A57" t="inlineStr">
        <is>
          <t>2021-06-01</t>
        </is>
      </c>
      <c r="B57" s="32" t="n">
        <v>3.2354</v>
      </c>
      <c r="C57" s="42" t="n">
        <v>400</v>
      </c>
      <c r="D57" t="inlineStr">
        <is>
          <t>Jun 2021</t>
        </is>
      </c>
      <c r="E57" s="43">
        <f>$B$33</f>
        <v/>
      </c>
      <c r="F57" s="33">
        <f>C57*E57</f>
        <v/>
      </c>
    </row>
    <row r="58">
      <c r="A58" t="inlineStr">
        <is>
          <t>2021-07-01</t>
        </is>
      </c>
      <c r="B58" s="32" t="n">
        <v>3.1929</v>
      </c>
      <c r="C58" s="42" t="n">
        <v>400</v>
      </c>
      <c r="D58" t="inlineStr">
        <is>
          <t>Jul 2021</t>
        </is>
      </c>
      <c r="E58" s="43">
        <f>$B$34</f>
        <v/>
      </c>
      <c r="F58" s="33">
        <f>C58*E58</f>
        <v/>
      </c>
    </row>
    <row r="59">
      <c r="A59" t="inlineStr">
        <is>
          <t>2021-08-02</t>
        </is>
      </c>
      <c r="B59" s="32" t="n">
        <v>3.2245</v>
      </c>
      <c r="C59" s="42" t="n">
        <v>400</v>
      </c>
      <c r="D59" t="inlineStr">
        <is>
          <t>Aug 2021</t>
        </is>
      </c>
      <c r="E59" s="43">
        <f>$B$35</f>
        <v/>
      </c>
      <c r="F59" s="33">
        <f>C59*E59</f>
        <v/>
      </c>
    </row>
    <row r="60">
      <c r="A60" t="inlineStr">
        <is>
          <t>2021-08-29</t>
        </is>
      </c>
      <c r="B60" s="32" t="n">
        <v>1.591</v>
      </c>
      <c r="C60" s="42" t="n">
        <v>200</v>
      </c>
      <c r="D60" t="inlineStr">
        <is>
          <t>Aug 2021</t>
        </is>
      </c>
      <c r="E60" s="43">
        <f>$B$35</f>
        <v/>
      </c>
      <c r="F60" s="33">
        <f>C60*E60</f>
        <v/>
      </c>
    </row>
    <row r="61">
      <c r="A61" t="inlineStr">
        <is>
          <t>2021-09-01</t>
        </is>
      </c>
      <c r="B61" s="32" t="n">
        <v>3.1681</v>
      </c>
      <c r="C61" s="42" t="n">
        <v>400</v>
      </c>
      <c r="D61" t="inlineStr">
        <is>
          <t>Sep 2021</t>
        </is>
      </c>
      <c r="E61" s="43">
        <f>$B$36</f>
        <v/>
      </c>
      <c r="F61" s="33">
        <f>C61*E61</f>
        <v/>
      </c>
    </row>
    <row r="62">
      <c r="A62" t="inlineStr">
        <is>
          <t>2021-10-01</t>
        </is>
      </c>
      <c r="B62" s="32" t="n">
        <v>3.2146</v>
      </c>
      <c r="C62" s="42" t="n">
        <v>400</v>
      </c>
      <c r="D62" t="inlineStr">
        <is>
          <t>Oct 2021</t>
        </is>
      </c>
      <c r="E62" s="43">
        <f>$B$37</f>
        <v/>
      </c>
      <c r="F62" s="33">
        <f>C62*E62</f>
        <v/>
      </c>
    </row>
    <row r="63">
      <c r="A63" t="inlineStr">
        <is>
          <t>2021-11-01</t>
        </is>
      </c>
      <c r="B63" s="32" t="n">
        <v>3.0974</v>
      </c>
      <c r="C63" s="42" t="n">
        <v>400</v>
      </c>
      <c r="D63" t="inlineStr">
        <is>
          <t>Nov 2021</t>
        </is>
      </c>
      <c r="E63" s="43">
        <f>$B$38</f>
        <v/>
      </c>
      <c r="F63" s="33">
        <f>C63*E63</f>
        <v/>
      </c>
    </row>
    <row r="64">
      <c r="A64" s="35" t="inlineStr">
        <is>
          <t>Total buys</t>
        </is>
      </c>
      <c r="B64" s="44">
        <f>SUM(B44:B63)</f>
        <v/>
      </c>
      <c r="C64" s="45">
        <f>SUM(C44:C63)</f>
        <v/>
      </c>
      <c r="D64" s="46" t="n"/>
      <c r="E64" s="46" t="n"/>
      <c r="F64" s="36">
        <f>SUM(F44:F63)</f>
        <v/>
      </c>
    </row>
    <row r="65">
      <c r="A65" s="12" t="inlineStr">
        <is>
          <t>Average cost per unit (SEK)</t>
        </is>
      </c>
      <c r="F65" s="33">
        <f>$F$64/$B$64</f>
        <v/>
      </c>
    </row>
    <row r="67">
      <c r="A67" s="41" t="inlineStr">
        <is>
          <t>Sales</t>
        </is>
      </c>
    </row>
    <row r="68">
      <c r="A68" s="31" t="inlineStr">
        <is>
          <t>Date</t>
        </is>
      </c>
      <c r="B68" s="31" t="inlineStr">
        <is>
          <t>Units</t>
        </is>
      </c>
      <c r="C68" s="31" t="inlineStr">
        <is>
          <t>GBP</t>
        </is>
      </c>
      <c r="D68" s="31" t="inlineStr">
        <is>
          <t>FX month</t>
        </is>
      </c>
      <c r="E68" s="31" t="inlineStr">
        <is>
          <t>FX rate</t>
        </is>
      </c>
      <c r="F68" s="31" t="inlineStr"/>
      <c r="G68" s="31" t="inlineStr">
        <is>
          <t>Swedish 2025?</t>
        </is>
      </c>
    </row>
    <row r="69">
      <c r="A69" s="47" t="inlineStr">
        <is>
          <t>2021-11-15</t>
        </is>
      </c>
      <c r="B69" s="48" t="n">
        <v>5.0134</v>
      </c>
      <c r="C69" s="49" t="n">
        <v>657.26</v>
      </c>
      <c r="D69" s="47" t="inlineStr">
        <is>
          <t>Nov 2021</t>
        </is>
      </c>
      <c r="E69" s="50">
        <f>$B$38</f>
        <v/>
      </c>
      <c r="F69" s="51">
        <f>C69*E69</f>
        <v/>
      </c>
      <c r="G69" s="47" t="inlineStr">
        <is>
          <t>No — pre-residency</t>
        </is>
      </c>
    </row>
    <row r="70">
      <c r="A70" t="inlineStr">
        <is>
          <t>2025-06-09</t>
        </is>
      </c>
      <c r="B70" s="32" t="n">
        <v>41.7177</v>
      </c>
      <c r="C70" s="42" t="n">
        <v>7500</v>
      </c>
      <c r="D70" t="inlineStr">
        <is>
          <t>Jun 2025</t>
        </is>
      </c>
      <c r="E70" s="43">
        <f>$B$39</f>
        <v/>
      </c>
      <c r="F70" s="33">
        <f>C70*E70</f>
        <v/>
      </c>
      <c r="G70" t="inlineStr">
        <is>
          <t>Yes</t>
        </is>
      </c>
    </row>
    <row r="71">
      <c r="A71" t="inlineStr">
        <is>
          <t>2025-06-17</t>
        </is>
      </c>
      <c r="B71" s="32" t="n">
        <v>32.5579</v>
      </c>
      <c r="C71" s="42" t="n">
        <v>5861.72</v>
      </c>
      <c r="D71" t="inlineStr">
        <is>
          <t>Jun 2025</t>
        </is>
      </c>
      <c r="E71" s="43">
        <f>$B$39</f>
        <v/>
      </c>
      <c r="F71" s="33">
        <f>C71*E71</f>
        <v/>
      </c>
      <c r="G71" t="inlineStr">
        <is>
          <t>Yes</t>
        </is>
      </c>
    </row>
    <row r="72">
      <c r="A72" s="35" t="inlineStr">
        <is>
          <t>Swedish 2025 sale total</t>
        </is>
      </c>
      <c r="B72" s="44">
        <f>B70+B71</f>
        <v/>
      </c>
      <c r="C72" s="46" t="n"/>
      <c r="D72" s="46" t="n"/>
      <c r="E72" s="46" t="n"/>
      <c r="F72" s="36">
        <f>F70+F71</f>
        <v/>
      </c>
    </row>
    <row r="74">
      <c r="A74" s="41" t="inlineStr">
        <is>
          <t>K4 calculation</t>
        </is>
      </c>
    </row>
    <row r="75">
      <c r="A75" t="inlineStr">
        <is>
          <t>Units sold in 2025 (Antal)</t>
        </is>
      </c>
      <c r="F75" s="32">
        <f>$B$72</f>
        <v/>
      </c>
    </row>
    <row r="76">
      <c r="A76" t="inlineStr">
        <is>
          <t>Försäljningspris (SEK)</t>
        </is>
      </c>
      <c r="F76" s="33">
        <f>$F$72</f>
        <v/>
      </c>
    </row>
    <row r="77">
      <c r="A77" t="inlineStr">
        <is>
          <t>Omkostnadsbelopp = units × avg cost (SEK)</t>
        </is>
      </c>
      <c r="F77" s="33">
        <f>$F$75*$F$65</f>
        <v/>
      </c>
    </row>
    <row r="78">
      <c r="A78" s="12" t="inlineStr">
        <is>
          <t>Vinst (SEK)</t>
        </is>
      </c>
      <c r="F78" s="38">
        <f>$F$76-$F$77</f>
        <v/>
      </c>
    </row>
    <row r="81">
      <c r="A81" s="30" t="inlineStr">
        <is>
          <t>Fund: S&amp;P 500 UCITS ETF — Distributing (VUSA)</t>
        </is>
      </c>
    </row>
    <row r="82">
      <c r="A82" s="41" t="inlineStr">
        <is>
          <t>Buys</t>
        </is>
      </c>
    </row>
    <row r="83">
      <c r="A83" s="31" t="inlineStr">
        <is>
          <t>Date</t>
        </is>
      </c>
      <c r="B83" s="31" t="inlineStr">
        <is>
          <t>Units</t>
        </is>
      </c>
      <c r="C83" s="31" t="inlineStr">
        <is>
          <t>GBP</t>
        </is>
      </c>
      <c r="D83" s="31" t="inlineStr">
        <is>
          <t>FX month</t>
        </is>
      </c>
      <c r="E83" s="31" t="inlineStr">
        <is>
          <t>FX rate</t>
        </is>
      </c>
      <c r="F83" s="31" t="inlineStr">
        <is>
          <t>SEK cost</t>
        </is>
      </c>
    </row>
    <row r="84">
      <c r="A84" t="inlineStr">
        <is>
          <t>2020-09-25</t>
        </is>
      </c>
      <c r="B84" s="32" t="n">
        <v>2</v>
      </c>
      <c r="C84" s="42" t="n">
        <v>98.25</v>
      </c>
      <c r="D84" t="inlineStr">
        <is>
          <t>Sep 2020</t>
        </is>
      </c>
      <c r="E84" s="43">
        <f>$B$24</f>
        <v/>
      </c>
      <c r="F84" s="33">
        <f>C84*E84</f>
        <v/>
      </c>
    </row>
    <row r="85">
      <c r="A85" t="inlineStr">
        <is>
          <t>2020-09-29</t>
        </is>
      </c>
      <c r="B85" s="32" t="n">
        <v>25</v>
      </c>
      <c r="C85" s="42" t="n">
        <v>1244.85</v>
      </c>
      <c r="D85" t="inlineStr">
        <is>
          <t>Sep 2020</t>
        </is>
      </c>
      <c r="E85" s="43">
        <f>$B$24</f>
        <v/>
      </c>
      <c r="F85" s="33">
        <f>C85*E85</f>
        <v/>
      </c>
    </row>
    <row r="86">
      <c r="A86" t="inlineStr">
        <is>
          <t>2020-11-02</t>
        </is>
      </c>
      <c r="B86" s="32" t="n">
        <v>2</v>
      </c>
      <c r="C86" s="42" t="n">
        <v>97.45999999999999</v>
      </c>
      <c r="D86" t="inlineStr">
        <is>
          <t>Nov 2020</t>
        </is>
      </c>
      <c r="E86" s="43">
        <f>$B$26</f>
        <v/>
      </c>
      <c r="F86" s="33">
        <f>C86*E86</f>
        <v/>
      </c>
    </row>
    <row r="87">
      <c r="A87" t="inlineStr">
        <is>
          <t>2020-12-01</t>
        </is>
      </c>
      <c r="B87" s="32" t="n">
        <v>1</v>
      </c>
      <c r="C87" s="42" t="n">
        <v>51.99</v>
      </c>
      <c r="D87" t="inlineStr">
        <is>
          <t>Dec 2020</t>
        </is>
      </c>
      <c r="E87" s="43">
        <f>$B$27</f>
        <v/>
      </c>
      <c r="F87" s="33">
        <f>C87*E87</f>
        <v/>
      </c>
    </row>
    <row r="88">
      <c r="A88" t="inlineStr">
        <is>
          <t>2020-12-01</t>
        </is>
      </c>
      <c r="B88" s="32" t="n">
        <v>1</v>
      </c>
      <c r="C88" s="42" t="n">
        <v>52.09</v>
      </c>
      <c r="D88" t="inlineStr">
        <is>
          <t>Dec 2020</t>
        </is>
      </c>
      <c r="E88" s="43">
        <f>$B$27</f>
        <v/>
      </c>
      <c r="F88" s="33">
        <f>C88*E88</f>
        <v/>
      </c>
    </row>
    <row r="89">
      <c r="A89" t="inlineStr">
        <is>
          <t>2021-01-04</t>
        </is>
      </c>
      <c r="B89" s="32" t="n">
        <v>1</v>
      </c>
      <c r="C89" s="42" t="n">
        <v>52.42</v>
      </c>
      <c r="D89" t="inlineStr">
        <is>
          <t>Jan 2021</t>
        </is>
      </c>
      <c r="E89" s="43">
        <f>$B$28</f>
        <v/>
      </c>
      <c r="F89" s="33">
        <f>C89*E89</f>
        <v/>
      </c>
    </row>
    <row r="90">
      <c r="A90" t="inlineStr">
        <is>
          <t>2021-01-06</t>
        </is>
      </c>
      <c r="B90" s="32" t="n">
        <v>1</v>
      </c>
      <c r="C90" s="42" t="n">
        <v>51.63</v>
      </c>
      <c r="D90" t="inlineStr">
        <is>
          <t>Jan 2021</t>
        </is>
      </c>
      <c r="E90" s="43">
        <f>$B$28</f>
        <v/>
      </c>
      <c r="F90" s="33">
        <f>C90*E90</f>
        <v/>
      </c>
    </row>
    <row r="91">
      <c r="A91" t="inlineStr">
        <is>
          <t>2021-02-01</t>
        </is>
      </c>
      <c r="B91" s="32" t="n">
        <v>7</v>
      </c>
      <c r="C91" s="42" t="n">
        <v>362.81</v>
      </c>
      <c r="D91" t="inlineStr">
        <is>
          <t>Feb 2021</t>
        </is>
      </c>
      <c r="E91" s="43">
        <f>$B$29</f>
        <v/>
      </c>
      <c r="F91" s="33">
        <f>C91*E91</f>
        <v/>
      </c>
    </row>
    <row r="92">
      <c r="A92" t="inlineStr">
        <is>
          <t>2021-02-03</t>
        </is>
      </c>
      <c r="B92" s="32" t="n">
        <v>18</v>
      </c>
      <c r="C92" s="42" t="n">
        <v>963.86</v>
      </c>
      <c r="D92" t="inlineStr">
        <is>
          <t>Feb 2021</t>
        </is>
      </c>
      <c r="E92" s="43">
        <f>$B$29</f>
        <v/>
      </c>
      <c r="F92" s="33">
        <f>C92*E92</f>
        <v/>
      </c>
    </row>
    <row r="93">
      <c r="A93" t="inlineStr">
        <is>
          <t>2021-02-04</t>
        </is>
      </c>
      <c r="B93" s="32" t="n">
        <v>18</v>
      </c>
      <c r="C93" s="42" t="n">
        <v>963.86</v>
      </c>
      <c r="D93" t="inlineStr">
        <is>
          <t>Feb 2021</t>
        </is>
      </c>
      <c r="E93" s="43">
        <f>$B$29</f>
        <v/>
      </c>
      <c r="F93" s="33">
        <f>C93*E93</f>
        <v/>
      </c>
    </row>
    <row r="94">
      <c r="A94" t="inlineStr">
        <is>
          <t>2021-03-01</t>
        </is>
      </c>
      <c r="B94" s="32" t="n">
        <v>7</v>
      </c>
      <c r="C94" s="42" t="n">
        <v>367.71</v>
      </c>
      <c r="D94" t="inlineStr">
        <is>
          <t>Mar 2021</t>
        </is>
      </c>
      <c r="E94" s="43">
        <f>$B$30</f>
        <v/>
      </c>
      <c r="F94" s="33">
        <f>C94*E94</f>
        <v/>
      </c>
    </row>
    <row r="95">
      <c r="A95" t="inlineStr">
        <is>
          <t>2021-03-05</t>
        </is>
      </c>
      <c r="B95" s="32" t="n">
        <v>9</v>
      </c>
      <c r="C95" s="42" t="n">
        <v>465.14</v>
      </c>
      <c r="D95" t="inlineStr">
        <is>
          <t>Mar 2021</t>
        </is>
      </c>
      <c r="E95" s="43">
        <f>$B$30</f>
        <v/>
      </c>
      <c r="F95" s="33">
        <f>C95*E95</f>
        <v/>
      </c>
    </row>
    <row r="96">
      <c r="A96" t="inlineStr">
        <is>
          <t>2021-03-22</t>
        </is>
      </c>
      <c r="B96" s="32" t="n">
        <v>7</v>
      </c>
      <c r="C96" s="42" t="n">
        <v>384.29</v>
      </c>
      <c r="D96" t="inlineStr">
        <is>
          <t>Mar 2021</t>
        </is>
      </c>
      <c r="E96" s="43">
        <f>$B$30</f>
        <v/>
      </c>
      <c r="F96" s="33">
        <f>C96*E96</f>
        <v/>
      </c>
    </row>
    <row r="97">
      <c r="A97" t="inlineStr">
        <is>
          <t>2021-04-20</t>
        </is>
      </c>
      <c r="B97" s="32" t="n">
        <v>13</v>
      </c>
      <c r="C97" s="42" t="n">
        <v>731.53</v>
      </c>
      <c r="D97" t="inlineStr">
        <is>
          <t>Apr 2021</t>
        </is>
      </c>
      <c r="E97" s="43">
        <f>$B$31</f>
        <v/>
      </c>
      <c r="F97" s="33">
        <f>C97*E97</f>
        <v/>
      </c>
    </row>
    <row r="98">
      <c r="A98" t="inlineStr">
        <is>
          <t>2021-04-21</t>
        </is>
      </c>
      <c r="B98" s="32" t="n">
        <v>6</v>
      </c>
      <c r="C98" s="42" t="n">
        <v>343.56</v>
      </c>
      <c r="D98" t="inlineStr">
        <is>
          <t>Apr 2021</t>
        </is>
      </c>
      <c r="E98" s="43">
        <f>$B$31</f>
        <v/>
      </c>
      <c r="F98" s="33">
        <f>C98*E98</f>
        <v/>
      </c>
    </row>
    <row r="99">
      <c r="A99" t="inlineStr">
        <is>
          <t>2021-05-19</t>
        </is>
      </c>
      <c r="B99" s="32" t="n">
        <v>7</v>
      </c>
      <c r="C99" s="42" t="n">
        <v>395.8</v>
      </c>
      <c r="D99" t="inlineStr">
        <is>
          <t>May 2021</t>
        </is>
      </c>
      <c r="E99" s="43">
        <f>$B$32</f>
        <v/>
      </c>
      <c r="F99" s="33">
        <f>C99*E99</f>
        <v/>
      </c>
    </row>
    <row r="100">
      <c r="A100" t="inlineStr">
        <is>
          <t>2021-06-21</t>
        </is>
      </c>
      <c r="B100" s="32" t="n">
        <v>6</v>
      </c>
      <c r="C100" s="42" t="n">
        <v>355.37</v>
      </c>
      <c r="D100" t="inlineStr">
        <is>
          <t>Jun 2021</t>
        </is>
      </c>
      <c r="E100" s="43">
        <f>$B$33</f>
        <v/>
      </c>
      <c r="F100" s="33">
        <f>C100*E100</f>
        <v/>
      </c>
    </row>
    <row r="101">
      <c r="A101" t="inlineStr">
        <is>
          <t>2021-07-21</t>
        </is>
      </c>
      <c r="B101" s="32" t="n">
        <v>6</v>
      </c>
      <c r="C101" s="42" t="n">
        <v>361.88</v>
      </c>
      <c r="D101" t="inlineStr">
        <is>
          <t>Jul 2021</t>
        </is>
      </c>
      <c r="E101" s="43">
        <f>$B$34</f>
        <v/>
      </c>
      <c r="F101" s="33">
        <f>C101*E101</f>
        <v/>
      </c>
    </row>
    <row r="102">
      <c r="A102" t="inlineStr">
        <is>
          <t>2021-08-19</t>
        </is>
      </c>
      <c r="B102" s="32" t="n">
        <v>6</v>
      </c>
      <c r="C102" s="42" t="n">
        <v>376.08</v>
      </c>
      <c r="D102" t="inlineStr">
        <is>
          <t>Aug 2021</t>
        </is>
      </c>
      <c r="E102" s="43">
        <f>$B$35</f>
        <v/>
      </c>
      <c r="F102" s="33">
        <f>C102*E102</f>
        <v/>
      </c>
    </row>
    <row r="103">
      <c r="A103" t="inlineStr">
        <is>
          <t>2021-09-21</t>
        </is>
      </c>
      <c r="B103" s="32" t="n">
        <v>6</v>
      </c>
      <c r="C103" s="42" t="n">
        <v>361.55</v>
      </c>
      <c r="D103" t="inlineStr">
        <is>
          <t>Sep 2021</t>
        </is>
      </c>
      <c r="E103" s="43">
        <f>$B$36</f>
        <v/>
      </c>
      <c r="F103" s="33">
        <f>C103*E103</f>
        <v/>
      </c>
    </row>
    <row r="104">
      <c r="A104" t="inlineStr">
        <is>
          <t>2021-10-20</t>
        </is>
      </c>
      <c r="B104" s="32" t="n">
        <v>6</v>
      </c>
      <c r="C104" s="42" t="n">
        <v>385.28</v>
      </c>
      <c r="D104" t="inlineStr">
        <is>
          <t>Oct 2021</t>
        </is>
      </c>
      <c r="E104" s="43">
        <f>$B$37</f>
        <v/>
      </c>
      <c r="F104" s="33">
        <f>C104*E104</f>
        <v/>
      </c>
    </row>
    <row r="105">
      <c r="A105" s="35" t="inlineStr">
        <is>
          <t>Total buys</t>
        </is>
      </c>
      <c r="B105" s="44">
        <f>SUM(B84:B104)</f>
        <v/>
      </c>
      <c r="C105" s="45">
        <f>SUM(C84:C104)</f>
        <v/>
      </c>
      <c r="D105" s="46" t="n"/>
      <c r="E105" s="46" t="n"/>
      <c r="F105" s="36">
        <f>SUM(F84:F104)</f>
        <v/>
      </c>
    </row>
    <row r="106">
      <c r="A106" s="12" t="inlineStr">
        <is>
          <t>Average cost per unit (SEK)</t>
        </is>
      </c>
      <c r="F106" s="33">
        <f>$F$105/$B$105</f>
        <v/>
      </c>
    </row>
    <row r="108">
      <c r="A108" s="41" t="inlineStr">
        <is>
          <t>Sales</t>
        </is>
      </c>
    </row>
    <row r="109">
      <c r="A109" s="31" t="inlineStr">
        <is>
          <t>Date</t>
        </is>
      </c>
      <c r="B109" s="31" t="inlineStr">
        <is>
          <t>Units</t>
        </is>
      </c>
      <c r="C109" s="31" t="inlineStr">
        <is>
          <t>GBP</t>
        </is>
      </c>
      <c r="D109" s="31" t="inlineStr">
        <is>
          <t>FX month</t>
        </is>
      </c>
      <c r="E109" s="31" t="inlineStr">
        <is>
          <t>FX rate</t>
        </is>
      </c>
      <c r="F109" s="31" t="inlineStr"/>
      <c r="G109" s="31" t="inlineStr">
        <is>
          <t>Swedish 2025?</t>
        </is>
      </c>
    </row>
    <row r="110">
      <c r="A110" t="inlineStr">
        <is>
          <t>2025-06-09</t>
        </is>
      </c>
      <c r="B110" s="32" t="n">
        <v>90</v>
      </c>
      <c r="C110" s="42" t="n">
        <v>7544.99</v>
      </c>
      <c r="D110" t="inlineStr">
        <is>
          <t>Jun 2025</t>
        </is>
      </c>
      <c r="E110" s="43">
        <f>$B$39</f>
        <v/>
      </c>
      <c r="F110" s="33">
        <f>C110*E110</f>
        <v/>
      </c>
      <c r="G110" t="inlineStr">
        <is>
          <t>Yes</t>
        </is>
      </c>
    </row>
    <row r="111">
      <c r="A111" t="inlineStr">
        <is>
          <t>2025-06-17</t>
        </is>
      </c>
      <c r="B111" s="32" t="n">
        <v>65</v>
      </c>
      <c r="C111" s="42" t="n">
        <v>5456.78</v>
      </c>
      <c r="D111" t="inlineStr">
        <is>
          <t>Jun 2025</t>
        </is>
      </c>
      <c r="E111" s="43">
        <f>$B$39</f>
        <v/>
      </c>
      <c r="F111" s="33">
        <f>C111*E111</f>
        <v/>
      </c>
      <c r="G111" t="inlineStr">
        <is>
          <t>Yes</t>
        </is>
      </c>
    </row>
    <row r="112">
      <c r="A112" s="35" t="inlineStr">
        <is>
          <t>Swedish 2025 sale total</t>
        </is>
      </c>
      <c r="B112" s="44">
        <f>B110+B111</f>
        <v/>
      </c>
      <c r="C112" s="46" t="n"/>
      <c r="D112" s="46" t="n"/>
      <c r="E112" s="46" t="n"/>
      <c r="F112" s="36">
        <f>F110+F111</f>
        <v/>
      </c>
    </row>
    <row r="114">
      <c r="A114" s="41" t="inlineStr">
        <is>
          <t>K4 calculation</t>
        </is>
      </c>
    </row>
    <row r="115">
      <c r="A115" t="inlineStr">
        <is>
          <t>Units sold in 2025 (Antal)</t>
        </is>
      </c>
      <c r="F115" s="32">
        <f>$B$112</f>
        <v/>
      </c>
    </row>
    <row r="116">
      <c r="A116" t="inlineStr">
        <is>
          <t>Försäljningspris (SEK)</t>
        </is>
      </c>
      <c r="F116" s="33">
        <f>$F$112</f>
        <v/>
      </c>
    </row>
    <row r="117">
      <c r="A117" t="inlineStr">
        <is>
          <t>Omkostnadsbelopp = units × avg cost (SEK)</t>
        </is>
      </c>
      <c r="F117" s="33">
        <f>$F$115*$F$106</f>
        <v/>
      </c>
    </row>
    <row r="118">
      <c r="A118" s="12" t="inlineStr">
        <is>
          <t>Vinst (SEK)</t>
        </is>
      </c>
      <c r="F118" s="38">
        <f>$F$116-$F$117</f>
        <v/>
      </c>
    </row>
    <row r="121">
      <c r="A121" s="30" t="inlineStr">
        <is>
          <t>Fund: FTSE 250 UCITS ETF — Distributing (VMID)</t>
        </is>
      </c>
    </row>
    <row r="122">
      <c r="A122" s="41" t="inlineStr">
        <is>
          <t>Buys</t>
        </is>
      </c>
    </row>
    <row r="123">
      <c r="A123" s="31" t="inlineStr">
        <is>
          <t>Date</t>
        </is>
      </c>
      <c r="B123" s="31" t="inlineStr">
        <is>
          <t>Units</t>
        </is>
      </c>
      <c r="C123" s="31" t="inlineStr">
        <is>
          <t>GBP</t>
        </is>
      </c>
      <c r="D123" s="31" t="inlineStr">
        <is>
          <t>FX month</t>
        </is>
      </c>
      <c r="E123" s="31" t="inlineStr">
        <is>
          <t>FX rate</t>
        </is>
      </c>
      <c r="F123" s="31" t="inlineStr">
        <is>
          <t>SEK cost</t>
        </is>
      </c>
    </row>
    <row r="124">
      <c r="A124" t="inlineStr">
        <is>
          <t>2021-02-10</t>
        </is>
      </c>
      <c r="B124" s="32" t="n">
        <v>30</v>
      </c>
      <c r="C124" s="42" t="n">
        <v>993.41</v>
      </c>
      <c r="D124" t="inlineStr">
        <is>
          <t>Feb 2021</t>
        </is>
      </c>
      <c r="E124" s="43">
        <f>$B$29</f>
        <v/>
      </c>
      <c r="F124" s="33">
        <f>C124*E124</f>
        <v/>
      </c>
    </row>
    <row r="125">
      <c r="A125" t="inlineStr">
        <is>
          <t>2021-03-05</t>
        </is>
      </c>
      <c r="B125" s="32" t="n">
        <v>7</v>
      </c>
      <c r="C125" s="42" t="n">
        <v>233.18</v>
      </c>
      <c r="D125" t="inlineStr">
        <is>
          <t>Mar 2021</t>
        </is>
      </c>
      <c r="E125" s="43">
        <f>$B$30</f>
        <v/>
      </c>
      <c r="F125" s="33">
        <f>C125*E125</f>
        <v/>
      </c>
    </row>
    <row r="126">
      <c r="A126" t="inlineStr">
        <is>
          <t>2021-04-20</t>
        </is>
      </c>
      <c r="B126" s="32" t="n">
        <v>8</v>
      </c>
      <c r="C126" s="42" t="n">
        <v>277.38</v>
      </c>
      <c r="D126" t="inlineStr">
        <is>
          <t>Apr 2021</t>
        </is>
      </c>
      <c r="E126" s="43">
        <f>$B$31</f>
        <v/>
      </c>
      <c r="F126" s="33">
        <f>C126*E126</f>
        <v/>
      </c>
    </row>
    <row r="127">
      <c r="A127" s="35" t="inlineStr">
        <is>
          <t>Total buys</t>
        </is>
      </c>
      <c r="B127" s="44">
        <f>SUM(B124:B126)</f>
        <v/>
      </c>
      <c r="C127" s="45">
        <f>SUM(C124:C126)</f>
        <v/>
      </c>
      <c r="D127" s="46" t="n"/>
      <c r="E127" s="46" t="n"/>
      <c r="F127" s="36">
        <f>SUM(F124:F126)</f>
        <v/>
      </c>
    </row>
    <row r="128">
      <c r="A128" s="12" t="inlineStr">
        <is>
          <t>Average cost per unit (SEK)</t>
        </is>
      </c>
      <c r="F128" s="33">
        <f>$F$127/$B$127</f>
        <v/>
      </c>
    </row>
    <row r="130">
      <c r="A130" s="41" t="inlineStr">
        <is>
          <t>Sales</t>
        </is>
      </c>
    </row>
    <row r="131">
      <c r="A131" s="31" t="inlineStr">
        <is>
          <t>Date</t>
        </is>
      </c>
      <c r="B131" s="31" t="inlineStr">
        <is>
          <t>Units</t>
        </is>
      </c>
      <c r="C131" s="31" t="inlineStr">
        <is>
          <t>GBP</t>
        </is>
      </c>
      <c r="D131" s="31" t="inlineStr">
        <is>
          <t>FX month</t>
        </is>
      </c>
      <c r="E131" s="31" t="inlineStr">
        <is>
          <t>FX rate</t>
        </is>
      </c>
      <c r="F131" s="31" t="inlineStr"/>
      <c r="G131" s="31" t="inlineStr">
        <is>
          <t>Swedish 2025?</t>
        </is>
      </c>
    </row>
    <row r="132">
      <c r="A132" t="inlineStr">
        <is>
          <t>2025-06-05</t>
        </is>
      </c>
      <c r="B132" s="32" t="n">
        <v>45</v>
      </c>
      <c r="C132" s="42" t="n">
        <v>1457.21</v>
      </c>
      <c r="D132" t="inlineStr">
        <is>
          <t>Jun 2025</t>
        </is>
      </c>
      <c r="E132" s="43">
        <f>$B$39</f>
        <v/>
      </c>
      <c r="F132" s="33">
        <f>C132*E132</f>
        <v/>
      </c>
      <c r="G132" t="inlineStr">
        <is>
          <t>Yes</t>
        </is>
      </c>
    </row>
    <row r="133">
      <c r="A133" s="35" t="inlineStr">
        <is>
          <t>Swedish 2025 sale total</t>
        </is>
      </c>
      <c r="B133" s="44">
        <f>B132</f>
        <v/>
      </c>
      <c r="C133" s="46" t="n"/>
      <c r="D133" s="46" t="n"/>
      <c r="E133" s="46" t="n"/>
      <c r="F133" s="36">
        <f>F132</f>
        <v/>
      </c>
    </row>
    <row r="135">
      <c r="A135" s="41" t="inlineStr">
        <is>
          <t>K4 calculation</t>
        </is>
      </c>
    </row>
    <row r="136">
      <c r="A136" t="inlineStr">
        <is>
          <t>Units sold in 2025 (Antal)</t>
        </is>
      </c>
      <c r="F136" s="32">
        <f>$B$133</f>
        <v/>
      </c>
    </row>
    <row r="137">
      <c r="A137" t="inlineStr">
        <is>
          <t>Försäljningspris (SEK)</t>
        </is>
      </c>
      <c r="F137" s="33">
        <f>$F$133</f>
        <v/>
      </c>
    </row>
    <row r="138">
      <c r="A138" t="inlineStr">
        <is>
          <t>Omkostnadsbelopp = units × avg cost (SEK)</t>
        </is>
      </c>
      <c r="F138" s="33">
        <f>$F$136*$F$128</f>
        <v/>
      </c>
    </row>
    <row r="139">
      <c r="A139" s="12" t="inlineStr">
        <is>
          <t>Vinst (SEK)</t>
        </is>
      </c>
      <c r="F139" s="38">
        <f>$F$137-$F$138</f>
        <v/>
      </c>
    </row>
    <row r="142">
      <c r="A142" s="30" t="inlineStr">
        <is>
          <t>Fund: FTSE Developed Europe ex UK UCITS ETF — Distributing (VERX)</t>
        </is>
      </c>
    </row>
    <row r="143">
      <c r="A143" s="41" t="inlineStr">
        <is>
          <t>Buys</t>
        </is>
      </c>
    </row>
    <row r="144">
      <c r="A144" s="31" t="inlineStr">
        <is>
          <t>Date</t>
        </is>
      </c>
      <c r="B144" s="31" t="inlineStr">
        <is>
          <t>Units</t>
        </is>
      </c>
      <c r="C144" s="31" t="inlineStr">
        <is>
          <t>GBP</t>
        </is>
      </c>
      <c r="D144" s="31" t="inlineStr">
        <is>
          <t>FX month</t>
        </is>
      </c>
      <c r="E144" s="31" t="inlineStr">
        <is>
          <t>FX rate</t>
        </is>
      </c>
      <c r="F144" s="31" t="inlineStr">
        <is>
          <t>SEK cost</t>
        </is>
      </c>
    </row>
    <row r="145">
      <c r="A145" t="inlineStr">
        <is>
          <t>2021-02-10</t>
        </is>
      </c>
      <c r="B145" s="32" t="n">
        <v>34</v>
      </c>
      <c r="C145" s="42" t="n">
        <v>974.39</v>
      </c>
      <c r="D145" t="inlineStr">
        <is>
          <t>Feb 2021</t>
        </is>
      </c>
      <c r="E145" s="43">
        <f>$B$29</f>
        <v/>
      </c>
      <c r="F145" s="33">
        <f>C145*E145</f>
        <v/>
      </c>
    </row>
    <row r="146">
      <c r="A146" t="inlineStr">
        <is>
          <t>2021-03-14</t>
        </is>
      </c>
      <c r="B146" s="32" t="n">
        <v>8</v>
      </c>
      <c r="C146" s="42" t="n">
        <v>232.16</v>
      </c>
      <c r="D146" t="inlineStr">
        <is>
          <t>Mar 2021</t>
        </is>
      </c>
      <c r="E146" s="43">
        <f>$B$30</f>
        <v/>
      </c>
      <c r="F146" s="33">
        <f>C146*E146</f>
        <v/>
      </c>
    </row>
    <row r="147">
      <c r="A147" s="35" t="inlineStr">
        <is>
          <t>Total buys</t>
        </is>
      </c>
      <c r="B147" s="44">
        <f>SUM(B145:B146)</f>
        <v/>
      </c>
      <c r="C147" s="45">
        <f>SUM(C145:C146)</f>
        <v/>
      </c>
      <c r="D147" s="46" t="n"/>
      <c r="E147" s="46" t="n"/>
      <c r="F147" s="36">
        <f>SUM(F145:F146)</f>
        <v/>
      </c>
    </row>
    <row r="148">
      <c r="A148" s="12" t="inlineStr">
        <is>
          <t>Average cost per unit (SEK)</t>
        </is>
      </c>
      <c r="F148" s="33">
        <f>$F$147/$B$147</f>
        <v/>
      </c>
    </row>
    <row r="150">
      <c r="A150" s="41" t="inlineStr">
        <is>
          <t>Sales</t>
        </is>
      </c>
    </row>
    <row r="151">
      <c r="A151" s="31" t="inlineStr">
        <is>
          <t>Date</t>
        </is>
      </c>
      <c r="B151" s="31" t="inlineStr">
        <is>
          <t>Units</t>
        </is>
      </c>
      <c r="C151" s="31" t="inlineStr">
        <is>
          <t>GBP</t>
        </is>
      </c>
      <c r="D151" s="31" t="inlineStr">
        <is>
          <t>FX month</t>
        </is>
      </c>
      <c r="E151" s="31" t="inlineStr">
        <is>
          <t>FX rate</t>
        </is>
      </c>
      <c r="F151" s="31" t="inlineStr"/>
      <c r="G151" s="31" t="inlineStr">
        <is>
          <t>Swedish 2025?</t>
        </is>
      </c>
    </row>
    <row r="152">
      <c r="A152" t="inlineStr">
        <is>
          <t>2025-06-05</t>
        </is>
      </c>
      <c r="B152" s="32" t="n">
        <v>42</v>
      </c>
      <c r="C152" s="42" t="n">
        <v>1541.25</v>
      </c>
      <c r="D152" t="inlineStr">
        <is>
          <t>Jun 2025</t>
        </is>
      </c>
      <c r="E152" s="43">
        <f>$B$39</f>
        <v/>
      </c>
      <c r="F152" s="33">
        <f>C152*E152</f>
        <v/>
      </c>
      <c r="G152" t="inlineStr">
        <is>
          <t>Yes</t>
        </is>
      </c>
    </row>
    <row r="153">
      <c r="A153" s="35" t="inlineStr">
        <is>
          <t>Swedish 2025 sale total</t>
        </is>
      </c>
      <c r="B153" s="44">
        <f>B152</f>
        <v/>
      </c>
      <c r="C153" s="46" t="n"/>
      <c r="D153" s="46" t="n"/>
      <c r="E153" s="46" t="n"/>
      <c r="F153" s="36">
        <f>F152</f>
        <v/>
      </c>
    </row>
    <row r="155">
      <c r="A155" s="41" t="inlineStr">
        <is>
          <t>K4 calculation</t>
        </is>
      </c>
    </row>
    <row r="156">
      <c r="A156" t="inlineStr">
        <is>
          <t>Units sold in 2025 (Antal)</t>
        </is>
      </c>
      <c r="F156" s="32">
        <f>$B$153</f>
        <v/>
      </c>
    </row>
    <row r="157">
      <c r="A157" t="inlineStr">
        <is>
          <t>Försäljningspris (SEK)</t>
        </is>
      </c>
      <c r="F157" s="33">
        <f>$F$153</f>
        <v/>
      </c>
    </row>
    <row r="158">
      <c r="A158" t="inlineStr">
        <is>
          <t>Omkostnadsbelopp = units × avg cost (SEK)</t>
        </is>
      </c>
      <c r="F158" s="33">
        <f>$F$156*$F$148</f>
        <v/>
      </c>
    </row>
    <row r="159">
      <c r="A159" s="12" t="inlineStr">
        <is>
          <t>Vinst (SEK)</t>
        </is>
      </c>
      <c r="F159" s="38">
        <f>$F$157-$F$158</f>
        <v/>
      </c>
    </row>
    <row r="162">
      <c r="A162" s="30" t="inlineStr">
        <is>
          <t>Excluded — FTSE Developed Europe ex-U.K. Equity Index Fund (Accumulation)</t>
        </is>
      </c>
    </row>
    <row r="163">
      <c r="A163" s="16" t="inlineStr">
        <is>
          <t>Bought 05 Mar 2021 (£250, 0.8601 units) and sold 14 Mar 2021 (£259.10, 0.8601 units). Both pre-Swedish-residency. Not on Swedish return.</t>
        </is>
      </c>
    </row>
    <row r="165">
      <c r="A165" s="30" t="inlineStr">
        <is>
          <t>Method &amp; references</t>
        </is>
      </c>
    </row>
    <row r="166">
      <c r="A166" s="16" t="inlineStr">
        <is>
          <t>• Genomsnittsmetoden applied per security (ISIN). Each fund has its own omkostnadsbelopp pool.</t>
        </is>
      </c>
    </row>
    <row r="167">
      <c r="A167" s="16" t="inlineStr">
        <is>
          <t>• Each buy converted to SEK at Riksbanken monthly Medel GBP/SEK for the buy month. Sale proceeds converted at the sale month's Medel.</t>
        </is>
      </c>
    </row>
    <row r="168">
      <c r="A168" s="16" t="inlineStr">
        <is>
          <t>• FTSE 100 had a pre-residency partial sale on 15 Nov 2021 (5.0134 units, £657.26). That sale is not on the Swedish return; it just reduces the unit pool. The remaining units carry the same average cost.</t>
        </is>
      </c>
    </row>
    <row r="169">
      <c r="A169" s="16" t="inlineStr">
        <is>
          <t>• Swedish tax resident from 25 Nov 2021. All buys completed by 1 Nov 2021 — all pre-residency, but pre-residency buys still constitute the omkostnadsbelopp under Swedish rules (no rebasing).</t>
        </is>
      </c>
    </row>
    <row r="170">
      <c r="A170" s="16" t="inlineStr">
        <is>
          <t>• ISA wrapper is irrelevant for Swedish tax — the full gain is taxable. Lossen från 2025 can offset (100% mot marknadsnoterade aktier/fonder; 70% mot annan kapital).</t>
        </is>
      </c>
    </row>
    <row r="171">
      <c r="A171" s="16" t="inlineStr">
        <is>
          <t>• File K4 avsnitt A with the 4 rows above. Box 7.4 = sum of the 4 vinst figures.</t>
        </is>
      </c>
    </row>
    <row r="172">
      <c r="A172" s="16" t="inlineStr">
        <is>
          <t>• Sources: 44 kap. 14 § Inkomstskattelagen; Skatteverket 'Utländsk valuta'; Vanguard ISA transaction PDFs (19 May 2026); Riksbanken sok-rantor-och-valutakurser.</t>
        </is>
      </c>
    </row>
  </sheetData>
  <mergeCells count="34">
    <mergeCell ref="A41:F41"/>
    <mergeCell ref="A172:F172"/>
    <mergeCell ref="A108:F108"/>
    <mergeCell ref="A74:F74"/>
    <mergeCell ref="A163:F163"/>
    <mergeCell ref="A3:F3"/>
    <mergeCell ref="A42:F42"/>
    <mergeCell ref="A5:F5"/>
    <mergeCell ref="A150:F150"/>
    <mergeCell ref="A22:F22"/>
    <mergeCell ref="A17:F17"/>
    <mergeCell ref="A135:F135"/>
    <mergeCell ref="A4:F4"/>
    <mergeCell ref="A122:F122"/>
    <mergeCell ref="A171:F171"/>
    <mergeCell ref="A165:F165"/>
    <mergeCell ref="A81:F81"/>
    <mergeCell ref="A170:F170"/>
    <mergeCell ref="A121:F121"/>
    <mergeCell ref="A155:F155"/>
    <mergeCell ref="A9:F9"/>
    <mergeCell ref="A67:F67"/>
    <mergeCell ref="A167:F167"/>
    <mergeCell ref="A143:F143"/>
    <mergeCell ref="A130:F130"/>
    <mergeCell ref="A114:F114"/>
    <mergeCell ref="A166:F166"/>
    <mergeCell ref="A142:F142"/>
    <mergeCell ref="A82:F82"/>
    <mergeCell ref="A169:F169"/>
    <mergeCell ref="A1:F1"/>
    <mergeCell ref="A168:F168"/>
    <mergeCell ref="A6:F6"/>
    <mergeCell ref="A162:F1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Tristan Morgan</dc:creator>
  <dcterms:created xsi:type="dcterms:W3CDTF">2026-05-18T14:29:45Z</dcterms:created>
  <dcterms:modified xsi:type="dcterms:W3CDTF">2026-05-19T08:01:46Z</dcterms:modified>
  <cp:lastModifiedBy>Tristan Morgan</cp:lastModifiedBy>
</cp:coreProperties>
</file>