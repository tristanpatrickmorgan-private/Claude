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00" yWindow="1540" windowWidth="28040" windowHeight="17180" tabRatio="600" firstSheet="0" activeTab="1" autoFilterDateGrouping="1"/>
  </bookViews>
  <sheets>
    <sheet name="76A Ingelow Road" sheetId="1" state="visible" r:id="rId1"/>
    <sheet name="Santander" sheetId="2" state="visible" r:id="rId2"/>
    <sheet name="Tax 24-25" sheetId="3" state="visible" r:id="rId3"/>
    <sheet name="Tax 25-26" sheetId="4" state="visible" r:id="rId4"/>
    <sheet name="Capital Gains 202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(* #,##0_);_(* \(#,##0\);_(* &quot;-&quot;??_);_(@_)"/>
  </numFmts>
  <fonts count="9"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Aptos Narrow"/>
      <family val="2"/>
      <sz val="8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sz val="11"/>
    </font>
    <font>
      <b val="1"/>
      <color rgb="00FFFFFF"/>
      <sz val="14"/>
    </font>
    <font>
      <b val="1"/>
    </font>
    <font>
      <b val="1"/>
      <sz val="11"/>
    </font>
    <font>
      <i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3" fontId="3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1"/>
    <xf numFmtId="165" fontId="0" fillId="0" borderId="0" pivotButton="0" quotePrefix="0" xfId="0"/>
    <xf numFmtId="165" fontId="0" fillId="0" borderId="0" pivotButton="0" quotePrefix="0" xfId="1"/>
    <xf numFmtId="165" fontId="0" fillId="0" borderId="0" pivotButton="0" quotePrefix="0" xfId="1"/>
    <xf numFmtId="165" fontId="0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6" fillId="4" borderId="0" pivotButton="0" quotePrefix="0" xfId="0"/>
    <xf numFmtId="0" fontId="8" fillId="0" borderId="0" pivotButton="0" quotePrefix="0" xfId="0"/>
    <xf numFmtId="0" fontId="6" fillId="5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Y16"/>
  <sheetViews>
    <sheetView workbookViewId="0">
      <selection activeCell="C1" sqref="C1:C2"/>
    </sheetView>
  </sheetViews>
  <sheetFormatPr baseColWidth="10" defaultRowHeight="16"/>
  <cols>
    <col width="22.1640625" bestFit="1" customWidth="1" style="4" min="2" max="2"/>
  </cols>
  <sheetData>
    <row r="1">
      <c r="B1" s="1" t="inlineStr">
        <is>
          <t>Swedish Tax Period</t>
        </is>
      </c>
      <c r="C1" s="1" t="n">
        <v>2023</v>
      </c>
      <c r="D1" s="1" t="n">
        <v>2023</v>
      </c>
      <c r="E1" s="1" t="n">
        <v>2023</v>
      </c>
      <c r="F1" s="1" t="n">
        <v>2023</v>
      </c>
      <c r="G1" s="1" t="n">
        <v>2023</v>
      </c>
      <c r="H1" s="1" t="n">
        <v>2023</v>
      </c>
      <c r="I1" s="1" t="n">
        <v>2023</v>
      </c>
      <c r="J1" s="1" t="n">
        <v>2023</v>
      </c>
      <c r="K1" s="1" t="n">
        <v>2023</v>
      </c>
      <c r="L1" s="1" t="n">
        <v>2023</v>
      </c>
      <c r="M1" s="1" t="n">
        <v>2023</v>
      </c>
      <c r="N1" s="1" t="n">
        <v>2023</v>
      </c>
      <c r="O1" s="1" t="n">
        <v>2023</v>
      </c>
      <c r="P1" s="1" t="n">
        <v>2024</v>
      </c>
      <c r="Q1" s="1" t="n">
        <v>2024</v>
      </c>
      <c r="R1" s="1" t="n">
        <v>2024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2024</v>
      </c>
      <c r="Y1" s="1" t="n">
        <v>2024</v>
      </c>
      <c r="Z1" s="1" t="n">
        <v>2024</v>
      </c>
      <c r="AA1" s="1" t="n">
        <v>2024</v>
      </c>
      <c r="AB1" s="1" t="n">
        <v>2024</v>
      </c>
      <c r="AC1" s="1" t="n">
        <v>2024</v>
      </c>
      <c r="AD1" s="1" t="n">
        <v>2024</v>
      </c>
      <c r="AE1" s="1" t="n">
        <v>2024</v>
      </c>
      <c r="AF1" s="1" t="n">
        <v>2024</v>
      </c>
      <c r="AG1" s="1" t="n">
        <v>2025</v>
      </c>
      <c r="AH1" s="1" t="n">
        <v>2025</v>
      </c>
      <c r="AI1" s="1" t="n">
        <v>2025</v>
      </c>
      <c r="AJ1" s="1" t="n">
        <v>2025</v>
      </c>
      <c r="AK1" s="1" t="n">
        <v>2025</v>
      </c>
      <c r="AL1" s="1" t="n">
        <v>2025</v>
      </c>
      <c r="AM1" s="1" t="n">
        <v>2025</v>
      </c>
      <c r="AN1" s="1" t="n">
        <v>2025</v>
      </c>
      <c r="AO1" s="1" t="n">
        <v>2025</v>
      </c>
      <c r="AP1" s="1" t="n">
        <v>2025</v>
      </c>
      <c r="AQ1" s="1" t="n">
        <v>2025</v>
      </c>
      <c r="AR1" s="1" t="n">
        <v>2025</v>
      </c>
      <c r="AS1" s="1" t="n">
        <v>2025</v>
      </c>
      <c r="AT1" s="1" t="n">
        <v>2026</v>
      </c>
      <c r="AU1" s="1" t="n">
        <v>2026</v>
      </c>
      <c r="AV1" s="1" t="n">
        <v>2026</v>
      </c>
      <c r="AW1" s="1" t="n">
        <v>2026</v>
      </c>
      <c r="AX1" s="1" t="n">
        <v>2026</v>
      </c>
      <c r="AY1" s="1" t="n">
        <v>2026</v>
      </c>
    </row>
    <row r="2">
      <c r="B2" s="1" t="inlineStr">
        <is>
          <t>UK Tax Period</t>
        </is>
      </c>
      <c r="C2" s="1" t="n">
        <v>23.24</v>
      </c>
      <c r="D2" s="1" t="n">
        <v>23.24</v>
      </c>
      <c r="E2" s="1" t="n">
        <v>23.24</v>
      </c>
      <c r="F2" s="1" t="n">
        <v>23.24</v>
      </c>
      <c r="G2" s="1" t="n">
        <v>23.24</v>
      </c>
      <c r="H2" s="1" t="n">
        <v>23.24</v>
      </c>
      <c r="I2" s="1" t="n">
        <v>23.24</v>
      </c>
      <c r="J2" s="1" t="n">
        <v>23.24</v>
      </c>
      <c r="K2" s="1" t="n">
        <v>23.24</v>
      </c>
      <c r="L2" s="1" t="n">
        <v>23.24</v>
      </c>
      <c r="M2" s="1" t="n">
        <v>23.24</v>
      </c>
      <c r="N2" s="1" t="n">
        <v>23.24</v>
      </c>
      <c r="O2" s="1" t="n">
        <v>23.24</v>
      </c>
      <c r="P2" s="1" t="n">
        <v>23.24</v>
      </c>
      <c r="Q2" s="1" t="n">
        <v>23.24</v>
      </c>
      <c r="R2" s="1" t="n">
        <v>23.24</v>
      </c>
      <c r="S2" s="1" t="n">
        <v>24.25</v>
      </c>
      <c r="T2" s="1" t="n">
        <v>24.25</v>
      </c>
      <c r="U2" s="1" t="n">
        <v>24.25</v>
      </c>
      <c r="V2" s="1" t="n">
        <v>24.25</v>
      </c>
      <c r="W2" s="1" t="n">
        <v>24.25</v>
      </c>
      <c r="X2" s="1" t="n">
        <v>24.25</v>
      </c>
      <c r="Y2" s="1" t="n">
        <v>24.25</v>
      </c>
      <c r="Z2" s="1" t="n">
        <v>24.25</v>
      </c>
      <c r="AA2" s="1" t="n">
        <v>24.25</v>
      </c>
      <c r="AB2" s="1" t="n">
        <v>24.25</v>
      </c>
      <c r="AC2" s="1" t="n">
        <v>24.25</v>
      </c>
      <c r="AD2" s="1" t="n">
        <v>24.25</v>
      </c>
      <c r="AE2" s="1" t="n">
        <v>24.25</v>
      </c>
      <c r="AF2" s="1" t="n">
        <v>24.25</v>
      </c>
      <c r="AG2" s="1" t="n">
        <v>24.25</v>
      </c>
      <c r="AH2" s="1" t="n">
        <v>24.25</v>
      </c>
      <c r="AI2" s="1" t="n">
        <v>24.25</v>
      </c>
      <c r="AJ2" s="1" t="n">
        <v>25.26</v>
      </c>
      <c r="AK2" s="1" t="n">
        <v>25.26</v>
      </c>
      <c r="AL2" s="1" t="n">
        <v>25.26</v>
      </c>
      <c r="AM2" s="1" t="n">
        <v>25.26</v>
      </c>
      <c r="AN2" s="1" t="n">
        <v>25.26</v>
      </c>
      <c r="AO2" s="1" t="n">
        <v>25.26</v>
      </c>
      <c r="AP2" s="1" t="n">
        <v>25.26</v>
      </c>
      <c r="AQ2" s="1" t="n">
        <v>25.26</v>
      </c>
      <c r="AR2" s="1" t="n">
        <v>25.26</v>
      </c>
      <c r="AS2" s="1" t="n">
        <v>25.26</v>
      </c>
      <c r="AT2" s="1" t="n">
        <v>25.26</v>
      </c>
      <c r="AU2" s="1" t="n">
        <v>25.26</v>
      </c>
      <c r="AV2" s="1" t="n">
        <v>25.26</v>
      </c>
      <c r="AW2" s="1" t="n">
        <v>25.26</v>
      </c>
      <c r="AX2" s="1" t="n">
        <v>26.27</v>
      </c>
      <c r="AY2" s="1" t="n">
        <v>26.27</v>
      </c>
    </row>
    <row r="3">
      <c r="B3" s="1" t="inlineStr">
        <is>
          <t>Knight Frank Statement No.</t>
        </is>
      </c>
      <c r="C3" s="1" t="n">
        <v>29</v>
      </c>
      <c r="D3" s="1" t="n">
        <v>30</v>
      </c>
      <c r="E3" s="1" t="n">
        <v>31</v>
      </c>
      <c r="F3" s="1" t="n">
        <v>32</v>
      </c>
      <c r="G3" s="1" t="n">
        <v>33</v>
      </c>
      <c r="H3" s="1" t="n">
        <v>34</v>
      </c>
      <c r="I3" s="1" t="n">
        <v>35</v>
      </c>
      <c r="J3" s="1" t="n">
        <v>36</v>
      </c>
      <c r="K3" s="1" t="n">
        <v>37</v>
      </c>
      <c r="L3" s="1" t="n">
        <v>38</v>
      </c>
      <c r="M3" s="1" t="n">
        <v>39</v>
      </c>
      <c r="N3" s="1" t="n">
        <v>40</v>
      </c>
      <c r="O3" s="1" t="n">
        <v>41</v>
      </c>
      <c r="P3" s="1" t="n">
        <v>42</v>
      </c>
      <c r="Q3" s="1" t="n">
        <v>43</v>
      </c>
      <c r="R3" s="1" t="n">
        <v>44</v>
      </c>
      <c r="S3" s="1" t="n">
        <v>45</v>
      </c>
      <c r="T3" s="1" t="n">
        <v>46</v>
      </c>
      <c r="U3" s="1" t="n">
        <v>47</v>
      </c>
      <c r="V3" s="1" t="n">
        <v>48</v>
      </c>
      <c r="W3" s="1" t="n">
        <v>49</v>
      </c>
      <c r="X3" s="1" t="n">
        <v>50</v>
      </c>
      <c r="Y3" s="1" t="n">
        <v>51</v>
      </c>
      <c r="Z3" s="1" t="n">
        <v>52</v>
      </c>
      <c r="AA3" s="1" t="n">
        <v>53</v>
      </c>
      <c r="AB3" s="1" t="n">
        <v>54</v>
      </c>
      <c r="AC3" s="1" t="n">
        <v>55</v>
      </c>
      <c r="AD3" s="1" t="n">
        <v>56</v>
      </c>
      <c r="AE3" s="1" t="n">
        <v>57</v>
      </c>
      <c r="AF3" s="1" t="n">
        <v>58</v>
      </c>
      <c r="AG3" s="1" t="n">
        <v>59</v>
      </c>
      <c r="AH3" s="1" t="n">
        <v>60</v>
      </c>
      <c r="AI3" s="1" t="n">
        <v>61</v>
      </c>
      <c r="AJ3" s="1" t="n">
        <v>62</v>
      </c>
      <c r="AK3" s="1" t="n">
        <v>63</v>
      </c>
      <c r="AL3" s="1" t="n">
        <v>64</v>
      </c>
      <c r="AM3" s="1" t="n">
        <v>65</v>
      </c>
      <c r="AN3" s="1" t="n">
        <v>66</v>
      </c>
      <c r="AO3" s="1" t="n">
        <v>67</v>
      </c>
      <c r="AP3" s="1" t="n">
        <v>68</v>
      </c>
      <c r="AQ3" s="1" t="n">
        <v>69</v>
      </c>
      <c r="AR3" s="1" t="n">
        <v>70</v>
      </c>
      <c r="AS3" s="1" t="n">
        <v>71</v>
      </c>
      <c r="AT3" s="1" t="n">
        <v>72</v>
      </c>
      <c r="AU3" s="1" t="n">
        <v>73</v>
      </c>
      <c r="AV3" s="1" t="n">
        <v>74</v>
      </c>
      <c r="AW3" s="1" t="n">
        <v>75</v>
      </c>
      <c r="AX3" s="1" t="n">
        <v>76</v>
      </c>
      <c r="AY3" s="1" t="n">
        <v>77</v>
      </c>
    </row>
    <row r="4">
      <c r="B4" s="1" t="inlineStr">
        <is>
          <t>Period</t>
        </is>
      </c>
      <c r="C4" s="1" t="inlineStr">
        <is>
          <t>April</t>
        </is>
      </c>
      <c r="D4" s="1" t="inlineStr">
        <is>
          <t>April</t>
        </is>
      </c>
      <c r="E4" s="1" t="inlineStr">
        <is>
          <t>May</t>
        </is>
      </c>
      <c r="F4" s="1" t="inlineStr">
        <is>
          <t>June</t>
        </is>
      </c>
      <c r="G4" s="1" t="inlineStr">
        <is>
          <t>July</t>
        </is>
      </c>
      <c r="H4" s="1" t="inlineStr">
        <is>
          <t>August</t>
        </is>
      </c>
      <c r="I4" s="1" t="inlineStr">
        <is>
          <t>September</t>
        </is>
      </c>
      <c r="J4" s="1" t="inlineStr">
        <is>
          <t>September</t>
        </is>
      </c>
      <c r="K4" s="1" t="inlineStr">
        <is>
          <t>October</t>
        </is>
      </c>
      <c r="L4" s="1" t="inlineStr">
        <is>
          <t>November</t>
        </is>
      </c>
      <c r="M4" s="1" t="inlineStr">
        <is>
          <t>November</t>
        </is>
      </c>
      <c r="N4" s="1" t="inlineStr">
        <is>
          <t>December</t>
        </is>
      </c>
      <c r="O4" s="1" t="inlineStr">
        <is>
          <t>December</t>
        </is>
      </c>
      <c r="P4" s="1" t="inlineStr">
        <is>
          <t>January</t>
        </is>
      </c>
      <c r="Q4" s="1" t="inlineStr">
        <is>
          <t>February</t>
        </is>
      </c>
      <c r="R4" s="1" t="inlineStr">
        <is>
          <t>March</t>
        </is>
      </c>
      <c r="S4" s="1" t="inlineStr">
        <is>
          <t>April</t>
        </is>
      </c>
      <c r="T4" s="1" t="inlineStr">
        <is>
          <t>April</t>
        </is>
      </c>
      <c r="U4" s="1" t="inlineStr">
        <is>
          <t>May</t>
        </is>
      </c>
      <c r="V4" s="1" t="inlineStr">
        <is>
          <t>May</t>
        </is>
      </c>
      <c r="W4" s="1" t="inlineStr">
        <is>
          <t>June</t>
        </is>
      </c>
      <c r="X4" s="1" t="inlineStr">
        <is>
          <t>June</t>
        </is>
      </c>
      <c r="Y4" s="1" t="inlineStr">
        <is>
          <t>July</t>
        </is>
      </c>
      <c r="Z4" s="1" t="inlineStr">
        <is>
          <t>August</t>
        </is>
      </c>
      <c r="AA4" s="1" t="inlineStr">
        <is>
          <t>August</t>
        </is>
      </c>
      <c r="AB4" s="1" t="inlineStr">
        <is>
          <t>September</t>
        </is>
      </c>
      <c r="AC4" s="1" t="inlineStr">
        <is>
          <t>October</t>
        </is>
      </c>
      <c r="AD4" s="1" t="inlineStr">
        <is>
          <t>November</t>
        </is>
      </c>
      <c r="AE4" s="1" t="inlineStr">
        <is>
          <t>November</t>
        </is>
      </c>
      <c r="AF4" s="1" t="inlineStr">
        <is>
          <t>December</t>
        </is>
      </c>
      <c r="AG4" s="1" t="inlineStr">
        <is>
          <t>January</t>
        </is>
      </c>
      <c r="AH4" s="1" t="inlineStr">
        <is>
          <t>February</t>
        </is>
      </c>
      <c r="AI4" s="1" t="inlineStr">
        <is>
          <t>March</t>
        </is>
      </c>
      <c r="AJ4" s="1" t="inlineStr">
        <is>
          <t>April</t>
        </is>
      </c>
      <c r="AK4" s="1" t="inlineStr">
        <is>
          <t>May</t>
        </is>
      </c>
      <c r="AL4" s="1" t="inlineStr">
        <is>
          <t>May</t>
        </is>
      </c>
      <c r="AM4" s="1" t="inlineStr">
        <is>
          <t>June</t>
        </is>
      </c>
      <c r="AN4" s="1" t="inlineStr">
        <is>
          <t>August</t>
        </is>
      </c>
      <c r="AO4" s="1" t="inlineStr">
        <is>
          <t>September</t>
        </is>
      </c>
      <c r="AP4" s="1" t="inlineStr">
        <is>
          <t>October</t>
        </is>
      </c>
      <c r="AQ4" s="1" t="inlineStr">
        <is>
          <t>November</t>
        </is>
      </c>
      <c r="AR4" s="1" t="inlineStr">
        <is>
          <t>December</t>
        </is>
      </c>
      <c r="AS4" s="1" t="inlineStr">
        <is>
          <t>December</t>
        </is>
      </c>
      <c r="AT4" s="1" t="inlineStr">
        <is>
          <t>February</t>
        </is>
      </c>
      <c r="AU4" s="1" t="inlineStr">
        <is>
          <t>March</t>
        </is>
      </c>
      <c r="AV4" s="1" t="inlineStr">
        <is>
          <t>March</t>
        </is>
      </c>
      <c r="AW4" s="1" t="inlineStr">
        <is>
          <t>March</t>
        </is>
      </c>
      <c r="AX4" s="1" t="inlineStr">
        <is>
          <t>April</t>
        </is>
      </c>
      <c r="AY4" s="1" t="inlineStr">
        <is>
          <t>April</t>
        </is>
      </c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</row>
    <row r="6">
      <c r="B6" s="1" t="inlineStr">
        <is>
          <t>Income</t>
        </is>
      </c>
      <c r="C6" s="2" t="n">
        <v>1125</v>
      </c>
      <c r="D6" s="2" t="n">
        <v>1125</v>
      </c>
      <c r="E6" s="2" t="n">
        <v>2250</v>
      </c>
      <c r="F6" s="2" t="n">
        <v>2250</v>
      </c>
      <c r="G6" s="2" t="n">
        <v>2250</v>
      </c>
      <c r="H6" s="2" t="n">
        <v>2250</v>
      </c>
      <c r="I6" s="2" t="n">
        <v>1125</v>
      </c>
      <c r="J6" s="2" t="n">
        <v>1125</v>
      </c>
      <c r="K6" s="2" t="n">
        <v>2250</v>
      </c>
      <c r="L6" s="2" t="n">
        <v>1125</v>
      </c>
      <c r="M6" s="2" t="n">
        <v>1125</v>
      </c>
      <c r="N6" s="2" t="n">
        <v>1213</v>
      </c>
      <c r="O6" s="2" t="n">
        <v>1213</v>
      </c>
      <c r="P6" s="2" t="n">
        <v>2427</v>
      </c>
      <c r="Q6" s="2" t="n">
        <v>2427</v>
      </c>
      <c r="R6" s="2" t="n">
        <v>2427</v>
      </c>
      <c r="S6" s="1" t="n">
        <v>1327.34</v>
      </c>
      <c r="T6" s="1" t="n">
        <v>1213.31</v>
      </c>
      <c r="U6" s="1" t="n">
        <v>1213.27</v>
      </c>
      <c r="V6" s="1" t="n">
        <v>1213.27</v>
      </c>
      <c r="W6" s="1" t="n">
        <v>1213.25</v>
      </c>
      <c r="X6" s="1" t="n">
        <v>1213.34</v>
      </c>
      <c r="Y6" s="1" t="n">
        <v>2426.57</v>
      </c>
      <c r="Z6" s="1" t="n">
        <v>1213.21</v>
      </c>
      <c r="AA6" s="1" t="n">
        <v>1213.24</v>
      </c>
      <c r="AB6" s="1" t="n">
        <v>2426.53</v>
      </c>
      <c r="AC6" s="1" t="n">
        <v>2426</v>
      </c>
      <c r="AD6" s="1" t="n">
        <v>1213.15</v>
      </c>
      <c r="AE6" s="1" t="n">
        <v>1213.34</v>
      </c>
      <c r="AF6" s="1" t="n">
        <v>2600</v>
      </c>
      <c r="AG6" s="1" t="n">
        <v>2600</v>
      </c>
      <c r="AH6" s="1" t="n">
        <v>2600</v>
      </c>
      <c r="AI6" s="1" t="n">
        <v>2600</v>
      </c>
      <c r="AJ6" s="1" t="n">
        <v>2600</v>
      </c>
      <c r="AK6" s="1" t="n">
        <v>2600</v>
      </c>
      <c r="AL6" s="1" t="n">
        <v>2600</v>
      </c>
      <c r="AM6" s="1" t="n">
        <v>2600</v>
      </c>
      <c r="AN6" s="1" t="n">
        <v>2600</v>
      </c>
      <c r="AO6" s="1" t="n">
        <v>2600</v>
      </c>
      <c r="AP6" s="1" t="n">
        <v>2600</v>
      </c>
      <c r="AQ6" s="1" t="n">
        <v>2600</v>
      </c>
      <c r="AR6" s="1" t="n">
        <v>2650</v>
      </c>
      <c r="AS6" s="1" t="n">
        <v>2650</v>
      </c>
      <c r="AT6" s="1" t="n">
        <v>2650</v>
      </c>
      <c r="AU6" s="1" t="n">
        <v>2650</v>
      </c>
      <c r="AV6" s="1" t="n">
        <v>0</v>
      </c>
      <c r="AW6" s="1" t="n">
        <v>871.25</v>
      </c>
      <c r="AX6" s="1" t="n">
        <v>3000</v>
      </c>
      <c r="AY6" s="1" t="n">
        <v>-0.02</v>
      </c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</row>
    <row r="8">
      <c r="B8" s="1" t="inlineStr">
        <is>
          <t>Total</t>
        </is>
      </c>
      <c r="C8" s="2">
        <f>SUM(C6:C7)</f>
        <v/>
      </c>
      <c r="D8" s="2">
        <f>SUM(D6:D7)</f>
        <v/>
      </c>
      <c r="E8" s="2">
        <f>SUM(E6:E7)</f>
        <v/>
      </c>
      <c r="F8" s="2">
        <f>SUM(F6:F7)</f>
        <v/>
      </c>
      <c r="G8" s="2">
        <f>SUM(G6:G7)</f>
        <v/>
      </c>
      <c r="H8" s="2">
        <f>SUM(H6:H7)</f>
        <v/>
      </c>
      <c r="I8" s="2">
        <f>SUM(I6:I7)</f>
        <v/>
      </c>
      <c r="J8" s="2">
        <f>SUM(J6:J7)</f>
        <v/>
      </c>
      <c r="K8" s="2">
        <f>SUM(K6:K7)</f>
        <v/>
      </c>
      <c r="L8" s="2">
        <f>SUM(L6:L7)</f>
        <v/>
      </c>
      <c r="M8" s="2">
        <f>SUM(M6:M7)</f>
        <v/>
      </c>
      <c r="N8" s="2">
        <f>SUM(N6:N7)</f>
        <v/>
      </c>
      <c r="O8" s="2">
        <f>SUM(O6:O7)</f>
        <v/>
      </c>
      <c r="P8" s="2">
        <f>SUM(P6:P7)</f>
        <v/>
      </c>
      <c r="Q8" s="2">
        <f>SUM(Q6:Q7)</f>
        <v/>
      </c>
      <c r="R8" s="2">
        <f>SUM(R6:R7)</f>
        <v/>
      </c>
      <c r="S8" s="2">
        <f>SUM(S6:S7)</f>
        <v/>
      </c>
      <c r="T8" s="2">
        <f>SUM(T6:T7)</f>
        <v/>
      </c>
      <c r="U8" s="2">
        <f>SUM(U6:U7)</f>
        <v/>
      </c>
      <c r="V8" s="2">
        <f>SUM(V6:V7)</f>
        <v/>
      </c>
      <c r="W8" s="2">
        <f>SUM(W6:W7)</f>
        <v/>
      </c>
      <c r="X8" s="2">
        <f>SUM(X6:X7)</f>
        <v/>
      </c>
      <c r="Y8" s="2">
        <f>SUM(Y6:Y7)</f>
        <v/>
      </c>
      <c r="Z8" s="2">
        <f>SUM(Z6:Z7)</f>
        <v/>
      </c>
      <c r="AA8" s="2">
        <f>SUM(AA6:AA7)</f>
        <v/>
      </c>
      <c r="AB8" s="2">
        <f>SUM(AB6:AB7)</f>
        <v/>
      </c>
      <c r="AC8" s="2">
        <f>SUM(AC6:AC7)</f>
        <v/>
      </c>
      <c r="AD8" s="2">
        <f>SUM(AD6:AD7)</f>
        <v/>
      </c>
      <c r="AE8" s="2">
        <f>SUM(AE6:AE7)</f>
        <v/>
      </c>
      <c r="AF8" s="2">
        <f>SUM(AF6:AF7)</f>
        <v/>
      </c>
      <c r="AG8" s="2">
        <f>SUM(AG6:AG7)</f>
        <v/>
      </c>
      <c r="AH8" s="2">
        <f>SUM(AH6:AH7)</f>
        <v/>
      </c>
      <c r="AI8" s="2">
        <f>SUM(AI6:AI7)</f>
        <v/>
      </c>
      <c r="AJ8" s="2">
        <f>SUM(AJ6:AJ7)</f>
        <v/>
      </c>
      <c r="AK8" s="2">
        <f>SUM(AK6:AK7)</f>
        <v/>
      </c>
      <c r="AL8" s="2">
        <f>SUM(AL6:AL7)</f>
        <v/>
      </c>
      <c r="AM8" s="2">
        <f>SUM(AM6:AM7)</f>
        <v/>
      </c>
      <c r="AN8" s="2">
        <f>SUM(AN6:AN7)</f>
        <v/>
      </c>
      <c r="AO8" s="2">
        <f>SUM(AO6:AO7)</f>
        <v/>
      </c>
      <c r="AP8" s="2">
        <f>SUM(AP6:AP7)</f>
        <v/>
      </c>
      <c r="AQ8" s="2">
        <f>SUM(AQ6:AQ7)</f>
        <v/>
      </c>
      <c r="AR8" s="2">
        <f>SUM(AR6:AR7)</f>
        <v/>
      </c>
      <c r="AS8" s="2">
        <f>SUM(AS6:AS7)</f>
        <v/>
      </c>
      <c r="AT8" s="2">
        <f>SUM(AT6:AT7)</f>
        <v/>
      </c>
      <c r="AU8" s="2">
        <f>SUM(AU6:AU7)</f>
        <v/>
      </c>
      <c r="AV8" s="2">
        <f>SUM(AV6:AV7)</f>
        <v/>
      </c>
      <c r="AW8" s="2">
        <f>SUM(AW6:AW7)</f>
        <v/>
      </c>
      <c r="AX8" s="2">
        <f>SUM(AX6:AX7)</f>
        <v/>
      </c>
      <c r="AY8" s="2">
        <f>SUM(AY6:AY7)</f>
        <v/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</row>
    <row r="10">
      <c r="B10" s="1" t="inlineStr">
        <is>
          <t>Management Commission</t>
        </is>
      </c>
      <c r="C10" s="1" t="n">
        <v>-54</v>
      </c>
      <c r="D10" s="1" t="n">
        <v>-54</v>
      </c>
      <c r="E10" s="1" t="n">
        <v>-108</v>
      </c>
      <c r="F10" s="1" t="n">
        <v>-108</v>
      </c>
      <c r="G10" s="1" t="n">
        <v>-108</v>
      </c>
      <c r="H10" s="1" t="n">
        <v>-108</v>
      </c>
      <c r="I10" s="1" t="n">
        <v>-54</v>
      </c>
      <c r="J10" s="1" t="n">
        <v>-54</v>
      </c>
      <c r="K10" s="1" t="n">
        <v>-108</v>
      </c>
      <c r="L10" s="1" t="n">
        <v>-54</v>
      </c>
      <c r="M10" s="1" t="n">
        <v>-54</v>
      </c>
      <c r="N10" s="1" t="n">
        <v>-58</v>
      </c>
      <c r="O10" s="1" t="n">
        <v>-58</v>
      </c>
      <c r="P10" s="1" t="n">
        <v>-116</v>
      </c>
      <c r="Q10" s="1" t="n">
        <v>-116</v>
      </c>
      <c r="R10" s="1" t="n">
        <v>-116</v>
      </c>
      <c r="S10" s="1" t="n">
        <v>-116.48</v>
      </c>
      <c r="T10" s="1" t="n">
        <v>0</v>
      </c>
      <c r="U10" s="1" t="n">
        <v>-116.48</v>
      </c>
      <c r="V10" s="1" t="n">
        <v>0</v>
      </c>
      <c r="W10" s="1" t="n">
        <v>-116</v>
      </c>
      <c r="X10" s="1" t="n">
        <v>0</v>
      </c>
      <c r="Y10" s="1" t="n">
        <v>-116.47536</v>
      </c>
      <c r="Z10" s="1" t="n">
        <v>-116.48</v>
      </c>
      <c r="AA10" s="1" t="n">
        <v>0</v>
      </c>
      <c r="AB10" s="1" t="n">
        <v>-116.47344</v>
      </c>
      <c r="AC10" s="1" t="n">
        <v>-116.448</v>
      </c>
      <c r="AD10" s="1" t="n">
        <v>-116</v>
      </c>
      <c r="AE10" s="1" t="n">
        <v>0</v>
      </c>
      <c r="AF10" s="1" t="n">
        <v>-124.8</v>
      </c>
      <c r="AG10" s="1" t="n">
        <v>-124.8</v>
      </c>
      <c r="AH10" s="1" t="n">
        <v>-124.8</v>
      </c>
      <c r="AI10" s="1" t="n">
        <v>-124.8</v>
      </c>
      <c r="AJ10" s="1" t="n">
        <v>-124.8</v>
      </c>
      <c r="AK10" s="1" t="n">
        <v>-124.8</v>
      </c>
      <c r="AL10" s="1" t="n">
        <v>-124.8</v>
      </c>
      <c r="AM10" s="1" t="n">
        <v>-124.8</v>
      </c>
      <c r="AN10" s="1" t="n">
        <v>-124.8</v>
      </c>
      <c r="AO10" s="1" t="n">
        <v>-124.8</v>
      </c>
      <c r="AP10" s="1" t="n">
        <v>-124.8</v>
      </c>
      <c r="AQ10" s="1" t="n">
        <v>-124.8</v>
      </c>
      <c r="AR10" s="1" t="n">
        <v>-127.2</v>
      </c>
      <c r="AS10" s="1" t="n">
        <v>-127.2</v>
      </c>
      <c r="AT10" s="1" t="n">
        <v>-127.2</v>
      </c>
      <c r="AU10" s="1" t="n">
        <v>-127.2</v>
      </c>
      <c r="AV10" s="1" t="n">
        <v>0</v>
      </c>
      <c r="AW10" s="1" t="n">
        <v>-50.18</v>
      </c>
      <c r="AX10" s="1" t="n">
        <v>-144</v>
      </c>
      <c r="AY10" s="1" t="n">
        <v>0</v>
      </c>
    </row>
    <row r="11">
      <c r="B11" s="1" t="inlineStr">
        <is>
          <t>Letting Commission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2" t="n">
        <v>-3145</v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>
        <v>-3429.6</v>
      </c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>
        <v>-3434.4</v>
      </c>
      <c r="AS11" s="1" t="n"/>
      <c r="AT11" s="1" t="n"/>
      <c r="AU11" s="1" t="n"/>
      <c r="AV11" s="1" t="n">
        <v>2192.37</v>
      </c>
      <c r="AW11" s="1" t="n">
        <v>-60</v>
      </c>
      <c r="AX11" s="1" t="n">
        <v>-4404</v>
      </c>
      <c r="AY11" s="1" t="n">
        <v>27.17</v>
      </c>
    </row>
    <row r="12">
      <c r="B12" s="1" t="inlineStr">
        <is>
          <t>Total Commission</t>
        </is>
      </c>
      <c r="C12" s="1">
        <f>SUM(C10:C11)</f>
        <v/>
      </c>
      <c r="D12" s="1">
        <f>SUM(D10:D11)</f>
        <v/>
      </c>
      <c r="E12" s="1">
        <f>SUM(E10:E11)</f>
        <v/>
      </c>
      <c r="F12" s="1">
        <f>SUM(F10:F11)</f>
        <v/>
      </c>
      <c r="G12" s="1">
        <f>SUM(G10:G11)</f>
        <v/>
      </c>
      <c r="H12" s="1">
        <f>SUM(H10:H11)</f>
        <v/>
      </c>
      <c r="I12" s="1">
        <f>SUM(I10:I11)</f>
        <v/>
      </c>
      <c r="J12" s="1">
        <f>SUM(J10:J11)</f>
        <v/>
      </c>
      <c r="K12" s="1">
        <f>SUM(K10:K11)</f>
        <v/>
      </c>
      <c r="L12" s="1">
        <f>SUM(L10:L11)</f>
        <v/>
      </c>
      <c r="M12" s="1">
        <f>SUM(M10:M11)</f>
        <v/>
      </c>
      <c r="N12" s="1">
        <f>SUM(N10:N11)</f>
        <v/>
      </c>
      <c r="O12" s="1">
        <f>SUM(O10:O11)</f>
        <v/>
      </c>
      <c r="P12" s="1">
        <f>SUM(P10:P11)</f>
        <v/>
      </c>
      <c r="Q12" s="1">
        <f>SUM(Q10:Q11)</f>
        <v/>
      </c>
      <c r="R12" s="1">
        <f>SUM(R10:R11)</f>
        <v/>
      </c>
      <c r="S12" s="1">
        <f>SUM(S10:S11)</f>
        <v/>
      </c>
      <c r="T12" s="1">
        <f>SUM(T10:T11)</f>
        <v/>
      </c>
      <c r="U12" s="1">
        <f>SUM(U10:U11)</f>
        <v/>
      </c>
      <c r="V12" s="1">
        <f>SUM(V10:V11)</f>
        <v/>
      </c>
      <c r="W12" s="1">
        <f>SUM(W10:W11)</f>
        <v/>
      </c>
      <c r="X12" s="1">
        <f>SUM(X10:X11)</f>
        <v/>
      </c>
      <c r="Y12" s="1">
        <f>SUM(Y10:Y11)</f>
        <v/>
      </c>
      <c r="Z12" s="1">
        <f>SUM(Z10:Z11)</f>
        <v/>
      </c>
      <c r="AA12" s="1">
        <f>SUM(AA10:AA11)</f>
        <v/>
      </c>
      <c r="AB12" s="1">
        <f>SUM(AB10:AB11)</f>
        <v/>
      </c>
      <c r="AC12" s="1">
        <f>SUM(AC10:AC11)</f>
        <v/>
      </c>
      <c r="AD12" s="1">
        <f>SUM(AD10:AD11)</f>
        <v/>
      </c>
      <c r="AE12" s="1">
        <f>SUM(AE10:AE11)</f>
        <v/>
      </c>
      <c r="AF12" s="1">
        <f>SUM(AF10:AF11)</f>
        <v/>
      </c>
      <c r="AG12" s="1">
        <f>SUM(AG10:AG11)</f>
        <v/>
      </c>
      <c r="AH12" s="1">
        <f>SUM(AH10:AH11)</f>
        <v/>
      </c>
      <c r="AI12" s="1">
        <f>SUM(AI10:AI11)</f>
        <v/>
      </c>
      <c r="AJ12" s="1">
        <f>SUM(AJ10:AJ11)</f>
        <v/>
      </c>
      <c r="AK12" s="1">
        <f>SUM(AK10:AK11)</f>
        <v/>
      </c>
      <c r="AL12" s="1">
        <f>SUM(AL10:AL11)</f>
        <v/>
      </c>
      <c r="AM12" s="1">
        <f>SUM(AM10:AM11)</f>
        <v/>
      </c>
      <c r="AN12" s="1">
        <f>SUM(AN10:AN11)</f>
        <v/>
      </c>
      <c r="AO12" s="1">
        <f>SUM(AO10:AO11)</f>
        <v/>
      </c>
      <c r="AP12" s="1">
        <f>SUM(AP10:AP11)</f>
        <v/>
      </c>
      <c r="AQ12" s="1">
        <f>SUM(AQ10:AQ11)</f>
        <v/>
      </c>
      <c r="AR12" s="1">
        <f>SUM(AR10:AR11)</f>
        <v/>
      </c>
      <c r="AS12" s="1">
        <f>SUM(AS10:AS11)</f>
        <v/>
      </c>
      <c r="AT12" s="1">
        <f>SUM(AT10:AT11)</f>
        <v/>
      </c>
      <c r="AU12" s="1">
        <f>SUM(AU10:AU11)</f>
        <v/>
      </c>
      <c r="AV12" s="1">
        <f>SUM(AV10:AV11)</f>
        <v/>
      </c>
      <c r="AW12" s="1">
        <f>SUM(AW10:AW11)</f>
        <v/>
      </c>
      <c r="AX12" s="1">
        <f>SUM(AX10:AX11)</f>
        <v/>
      </c>
      <c r="AY12" s="1">
        <f>SUM(AY10:AY11)</f>
        <v/>
      </c>
    </row>
    <row r="13">
      <c r="B13" s="1" t="inlineStr">
        <is>
          <t>Maintenance Expenses</t>
        </is>
      </c>
      <c r="C13" s="1" t="n"/>
      <c r="D13" s="1" t="n"/>
      <c r="E13" s="1" t="n"/>
      <c r="F13" s="1" t="n">
        <v>-158</v>
      </c>
      <c r="G13" s="1" t="n"/>
      <c r="H13" s="1" t="n">
        <v>-298</v>
      </c>
      <c r="I13" s="1" t="n"/>
      <c r="J13" s="1" t="n"/>
      <c r="K13" s="1" t="n"/>
      <c r="L13" s="1" t="n">
        <v>-126</v>
      </c>
      <c r="M13" s="1" t="n"/>
      <c r="N13" s="1" t="n"/>
      <c r="O13" s="1" t="n"/>
      <c r="P13" s="1" t="n">
        <v>-875</v>
      </c>
      <c r="Q13" s="1" t="n"/>
      <c r="R13" s="1" t="n"/>
      <c r="S13" s="1" t="n">
        <v>-114</v>
      </c>
      <c r="T13" s="1" t="n"/>
      <c r="U13" s="1" t="n"/>
      <c r="V13" s="1" t="n"/>
      <c r="W13" s="1" t="n"/>
      <c r="X13" s="1" t="n"/>
      <c r="Y13" s="1" t="n">
        <v>-114</v>
      </c>
      <c r="Z13" s="1" t="n">
        <v>-484</v>
      </c>
      <c r="AA13" s="1" t="n"/>
      <c r="AB13" s="1" t="n">
        <v>-90</v>
      </c>
      <c r="AC13" s="1" t="n"/>
      <c r="AD13" s="1" t="n"/>
      <c r="AE13" s="1" t="n"/>
      <c r="AF13" s="1" t="n"/>
      <c r="AG13" s="1" t="n"/>
      <c r="AH13" s="1" t="n"/>
      <c r="AI13" s="1" t="n">
        <v>-1322.99</v>
      </c>
      <c r="AJ13" s="1" t="n"/>
      <c r="AK13" s="1" t="n">
        <v>-1203</v>
      </c>
      <c r="AL13" s="1" t="n"/>
      <c r="AM13" s="1" t="n"/>
      <c r="AN13" s="1" t="n">
        <v>-250</v>
      </c>
      <c r="AO13" s="1" t="n"/>
      <c r="AP13" s="1" t="n">
        <v>-156</v>
      </c>
      <c r="AQ13" s="1" t="n">
        <v>-312</v>
      </c>
      <c r="AR13" s="1" t="n"/>
      <c r="AS13" s="1" t="n"/>
      <c r="AT13" s="1" t="n">
        <v>-408</v>
      </c>
      <c r="AU13" s="1" t="n">
        <v>-693.6</v>
      </c>
      <c r="AV13" s="1" t="n">
        <v>-4920</v>
      </c>
      <c r="AW13" s="1" t="n"/>
      <c r="AX13" s="1" t="n">
        <v>-966</v>
      </c>
      <c r="AY13" s="1" t="n">
        <v>-444</v>
      </c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</row>
    <row r="15">
      <c r="B15" s="1" t="inlineStr">
        <is>
          <t>Total</t>
        </is>
      </c>
      <c r="C15" s="2">
        <f>SUM(C8,C12,C13)</f>
        <v/>
      </c>
      <c r="D15" s="2">
        <f>SUM(D8,D12,D13)</f>
        <v/>
      </c>
      <c r="E15" s="2">
        <f>SUM(E8,E12,E13)</f>
        <v/>
      </c>
      <c r="F15" s="2">
        <f>SUM(F8,F12,F13)</f>
        <v/>
      </c>
      <c r="G15" s="2">
        <f>SUM(G8,G12,G13)</f>
        <v/>
      </c>
      <c r="H15" s="2">
        <f>SUM(H8,H12,H13)</f>
        <v/>
      </c>
      <c r="I15" s="2">
        <f>SUM(I8,I12,I13)</f>
        <v/>
      </c>
      <c r="J15" s="2">
        <f>SUM(J8,J12,J13)</f>
        <v/>
      </c>
      <c r="K15" s="2">
        <f>SUM(K8,K12,K13)</f>
        <v/>
      </c>
      <c r="L15" s="2">
        <f>SUM(L8,L12,L13)</f>
        <v/>
      </c>
      <c r="M15" s="2">
        <f>SUM(M8,M12,M13)</f>
        <v/>
      </c>
      <c r="N15" s="2">
        <f>SUM(N8,N12,N13)</f>
        <v/>
      </c>
      <c r="O15" s="2">
        <f>SUM(O8,O12,O13)</f>
        <v/>
      </c>
      <c r="P15" s="2">
        <f>SUM(P8,P12,P13)</f>
        <v/>
      </c>
      <c r="Q15" s="2">
        <f>SUM(Q8,Q12,Q13)</f>
        <v/>
      </c>
      <c r="R15" s="2">
        <f>SUM(R8,R12,R13)</f>
        <v/>
      </c>
      <c r="S15" s="2">
        <f>SUM(S8,S12,S13)</f>
        <v/>
      </c>
      <c r="T15" s="2">
        <f>SUM(T8,T12,T13)</f>
        <v/>
      </c>
      <c r="U15" s="2">
        <f>SUM(U8,U12,U13)</f>
        <v/>
      </c>
      <c r="V15" s="2">
        <f>SUM(V8,V12,V13)</f>
        <v/>
      </c>
      <c r="W15" s="2">
        <f>SUM(W8,W12,W13)</f>
        <v/>
      </c>
      <c r="X15" s="2">
        <f>SUM(X8,X12,X13)</f>
        <v/>
      </c>
      <c r="Y15" s="2">
        <f>SUM(Y8,Y12,Y13)</f>
        <v/>
      </c>
      <c r="Z15" s="2">
        <f>SUM(Z8,Z12,Z13)</f>
        <v/>
      </c>
      <c r="AA15" s="2">
        <f>SUM(AA8,AA12,AA13)</f>
        <v/>
      </c>
      <c r="AB15" s="2">
        <f>SUM(AB8,AB12,AB13)</f>
        <v/>
      </c>
      <c r="AC15" s="2">
        <f>SUM(AC8,AC12,AC13)</f>
        <v/>
      </c>
      <c r="AD15" s="2">
        <f>SUM(AD8,AD12,AD13)</f>
        <v/>
      </c>
      <c r="AE15" s="2">
        <f>SUM(AE8,AE12,AE13)</f>
        <v/>
      </c>
      <c r="AF15" s="2">
        <f>SUM(AF8,AF12,AF13)</f>
        <v/>
      </c>
      <c r="AG15" s="2">
        <f>SUM(AG8,AG12,AG13)</f>
        <v/>
      </c>
      <c r="AH15" s="2">
        <f>SUM(AH8,AH12,AH13)</f>
        <v/>
      </c>
      <c r="AI15" s="2">
        <f>SUM(AI8,AI12,AI13)</f>
        <v/>
      </c>
      <c r="AJ15" s="2">
        <f>SUM(AJ8,AJ12,AJ13)</f>
        <v/>
      </c>
      <c r="AK15" s="2">
        <f>SUM(AK8,AK12,AK13)</f>
        <v/>
      </c>
      <c r="AL15" s="2">
        <f>SUM(AL8,AL12,AL13)</f>
        <v/>
      </c>
      <c r="AM15" s="2">
        <f>SUM(AM8,AM12,AM13)</f>
        <v/>
      </c>
      <c r="AN15" s="2">
        <f>SUM(AN8,AN12,AN13)</f>
        <v/>
      </c>
      <c r="AO15" s="2">
        <f>SUM(AO8,AO12,AO13)</f>
        <v/>
      </c>
      <c r="AP15" s="2">
        <f>SUM(AP8,AP12,AP13)</f>
        <v/>
      </c>
      <c r="AQ15" s="2">
        <f>SUM(AQ8,AQ12,AQ13)</f>
        <v/>
      </c>
      <c r="AR15" s="2">
        <f>SUM(AR8,AR12,AR13)</f>
        <v/>
      </c>
      <c r="AS15" s="2">
        <f>SUM(AS8,AS12,AS13)</f>
        <v/>
      </c>
      <c r="AT15" s="2">
        <f>SUM(AT8,AT12,AT13)</f>
        <v/>
      </c>
      <c r="AU15" s="2">
        <f>SUM(AU8,AU12,AU13)</f>
        <v/>
      </c>
      <c r="AV15" s="2">
        <f>SUM(AV8,AV12,AV13)</f>
        <v/>
      </c>
      <c r="AW15" s="2">
        <f>SUM(AW8,AW12,AW13)</f>
        <v/>
      </c>
      <c r="AX15" s="2">
        <f>SUM(AX8,AX12,AX13)</f>
        <v/>
      </c>
      <c r="AY15" s="2">
        <f>SUM(AY8,AY12,AY13)</f>
        <v/>
      </c>
    </row>
    <row r="16">
      <c r="B16" s="1" t="inlineStr">
        <is>
          <t>Total (Ex. Expenses)</t>
        </is>
      </c>
      <c r="C16" s="2">
        <f>SUM(C8,C12)</f>
        <v/>
      </c>
      <c r="D16" s="2">
        <f>SUM(D8,D12)</f>
        <v/>
      </c>
      <c r="E16" s="2">
        <f>SUM(E8,E12)</f>
        <v/>
      </c>
      <c r="F16" s="2">
        <f>SUM(F8,F12)</f>
        <v/>
      </c>
      <c r="G16" s="2">
        <f>SUM(G8,G12)</f>
        <v/>
      </c>
      <c r="H16" s="2">
        <f>SUM(H8,H12)</f>
        <v/>
      </c>
      <c r="I16" s="2">
        <f>SUM(I8,I12)</f>
        <v/>
      </c>
      <c r="J16" s="2">
        <f>SUM(J8,J12)</f>
        <v/>
      </c>
      <c r="K16" s="2">
        <f>SUM(K8,K12)</f>
        <v/>
      </c>
      <c r="L16" s="2">
        <f>SUM(L8,L12)</f>
        <v/>
      </c>
      <c r="M16" s="2">
        <f>SUM(M8,M12)</f>
        <v/>
      </c>
      <c r="N16" s="2">
        <f>SUM(N8,N12)</f>
        <v/>
      </c>
      <c r="O16" s="2">
        <f>SUM(O8,O12)</f>
        <v/>
      </c>
      <c r="P16" s="2">
        <f>SUM(P8,P12)</f>
        <v/>
      </c>
      <c r="Q16" s="2">
        <f>SUM(Q8,Q12)</f>
        <v/>
      </c>
      <c r="R16" s="2">
        <f>SUM(R8,R12)</f>
        <v/>
      </c>
      <c r="S16" s="2">
        <f>SUM(S8,S12)</f>
        <v/>
      </c>
      <c r="T16" s="2">
        <f>SUM(T8,T12)</f>
        <v/>
      </c>
      <c r="U16" s="2">
        <f>SUM(U8,U12)</f>
        <v/>
      </c>
      <c r="V16" s="2">
        <f>SUM(V8,V12)</f>
        <v/>
      </c>
      <c r="W16" s="2">
        <f>SUM(W8,W12)</f>
        <v/>
      </c>
      <c r="X16" s="2">
        <f>SUM(X8,X12)</f>
        <v/>
      </c>
      <c r="Y16" s="2">
        <f>SUM(Y8,Y12)</f>
        <v/>
      </c>
      <c r="Z16" s="2">
        <f>SUM(Z8,Z12)</f>
        <v/>
      </c>
      <c r="AA16" s="2">
        <f>SUM(AA8,AA12)</f>
        <v/>
      </c>
      <c r="AB16" s="2">
        <f>SUM(AB8,AB12)</f>
        <v/>
      </c>
      <c r="AC16" s="2">
        <f>SUM(AC8,AC12)</f>
        <v/>
      </c>
      <c r="AD16" s="2">
        <f>SUM(AD8,AD12)</f>
        <v/>
      </c>
      <c r="AE16" s="2">
        <f>SUM(AE8,AE12)</f>
        <v/>
      </c>
      <c r="AF16" s="2">
        <f>SUM(AF8,AF12)</f>
        <v/>
      </c>
      <c r="AG16" s="2">
        <f>SUM(AG8,AG12)</f>
        <v/>
      </c>
      <c r="AH16" s="2">
        <f>SUM(AH8,AH12)</f>
        <v/>
      </c>
      <c r="AI16" s="2">
        <f>SUM(AI8,AI12)</f>
        <v/>
      </c>
      <c r="AJ16" s="2">
        <f>SUM(AJ8,AJ12)</f>
        <v/>
      </c>
      <c r="AK16" s="2">
        <f>SUM(AK8,AK12)</f>
        <v/>
      </c>
      <c r="AL16" s="2">
        <f>SUM(AL8,AL12)</f>
        <v/>
      </c>
      <c r="AM16" s="2">
        <f>SUM(AM8,AM12)</f>
        <v/>
      </c>
      <c r="AN16" s="2">
        <f>SUM(AN8,AN12)</f>
        <v/>
      </c>
      <c r="AO16" s="2">
        <f>SUM(AO8,AO12)</f>
        <v/>
      </c>
      <c r="AP16" s="2">
        <f>SUM(AP8,AP12)</f>
        <v/>
      </c>
      <c r="AQ16" s="2">
        <f>SUM(AQ8,AQ12)</f>
        <v/>
      </c>
      <c r="AR16" s="2">
        <f>SUM(AR8,AR12)</f>
        <v/>
      </c>
      <c r="AS16" s="2">
        <f>SUM(AS8,AS12)</f>
        <v/>
      </c>
      <c r="AT16" s="2">
        <f>SUM(AT8,AT12)</f>
        <v/>
      </c>
      <c r="AU16" s="2">
        <f>SUM(AU8,AU12)</f>
        <v/>
      </c>
      <c r="AV16" s="2">
        <f>SUM(AV8,AV12)</f>
        <v/>
      </c>
      <c r="AW16" s="2">
        <f>SUM(AW8,AW12)</f>
        <v/>
      </c>
      <c r="AX16" s="2">
        <f>SUM(AX8,AX12)</f>
        <v/>
      </c>
      <c r="AY16" s="2">
        <f>SUM(AY8,AY12)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"/>
  <sheetViews>
    <sheetView tabSelected="1" workbookViewId="0">
      <selection activeCell="A22" sqref="A22"/>
    </sheetView>
  </sheetViews>
  <sheetFormatPr baseColWidth="10" defaultRowHeight="16"/>
  <cols>
    <col width="33.33203125" customWidth="1" style="4" min="1" max="1"/>
    <col width="11.5" bestFit="1" customWidth="1" style="4" min="2" max="39"/>
    <col width="10.83203125" customWidth="1" style="4" min="40" max="16384"/>
  </cols>
  <sheetData>
    <row r="1">
      <c r="A1" s="3" t="inlineStr">
        <is>
          <t>Period</t>
        </is>
      </c>
      <c r="B1" s="3" t="inlineStr">
        <is>
          <t>Apr</t>
        </is>
      </c>
      <c r="C1" s="3" t="inlineStr">
        <is>
          <t>May</t>
        </is>
      </c>
      <c r="D1" s="3" t="inlineStr">
        <is>
          <t>Jun</t>
        </is>
      </c>
      <c r="E1" s="3" t="inlineStr">
        <is>
          <t>Jul</t>
        </is>
      </c>
      <c r="F1" s="3" t="inlineStr">
        <is>
          <t>Aug</t>
        </is>
      </c>
      <c r="G1" s="3" t="inlineStr">
        <is>
          <t>Sep</t>
        </is>
      </c>
      <c r="H1" s="3" t="inlineStr">
        <is>
          <t>Oct</t>
        </is>
      </c>
      <c r="I1" s="3" t="inlineStr">
        <is>
          <t>Nov</t>
        </is>
      </c>
      <c r="J1" s="3" t="inlineStr">
        <is>
          <t>Dec</t>
        </is>
      </c>
      <c r="K1" s="3" t="inlineStr">
        <is>
          <t>Jan</t>
        </is>
      </c>
      <c r="L1" s="3" t="inlineStr">
        <is>
          <t>Feb</t>
        </is>
      </c>
      <c r="M1" s="3" t="inlineStr">
        <is>
          <t>Mar</t>
        </is>
      </c>
      <c r="N1" s="3" t="inlineStr">
        <is>
          <t>Apr</t>
        </is>
      </c>
      <c r="O1" s="3" t="inlineStr">
        <is>
          <t>May</t>
        </is>
      </c>
      <c r="P1" s="3" t="inlineStr">
        <is>
          <t>Jun</t>
        </is>
      </c>
      <c r="Q1" s="3" t="inlineStr">
        <is>
          <t>Jul</t>
        </is>
      </c>
      <c r="R1" s="3" t="inlineStr">
        <is>
          <t>Aug</t>
        </is>
      </c>
      <c r="S1" s="3" t="inlineStr">
        <is>
          <t>Sep</t>
        </is>
      </c>
      <c r="T1" s="3" t="inlineStr">
        <is>
          <t>Oct</t>
        </is>
      </c>
      <c r="U1" s="3" t="inlineStr">
        <is>
          <t>Nov</t>
        </is>
      </c>
      <c r="V1" s="3" t="inlineStr">
        <is>
          <t>Dec</t>
        </is>
      </c>
      <c r="W1" s="3" t="inlineStr">
        <is>
          <t>Jan</t>
        </is>
      </c>
      <c r="X1" s="3" t="inlineStr">
        <is>
          <t>Feb</t>
        </is>
      </c>
      <c r="Y1" s="3" t="inlineStr">
        <is>
          <t>Mar</t>
        </is>
      </c>
      <c r="Z1" s="3" t="inlineStr">
        <is>
          <t>Apr</t>
        </is>
      </c>
      <c r="AA1" s="3" t="inlineStr">
        <is>
          <t>May</t>
        </is>
      </c>
      <c r="AB1" s="3" t="inlineStr">
        <is>
          <t>Jun</t>
        </is>
      </c>
      <c r="AC1" s="3" t="inlineStr">
        <is>
          <t>Jul</t>
        </is>
      </c>
      <c r="AD1" s="3" t="inlineStr">
        <is>
          <t>Aug</t>
        </is>
      </c>
      <c r="AE1" s="3" t="inlineStr">
        <is>
          <t>Sep</t>
        </is>
      </c>
      <c r="AF1" s="3" t="inlineStr">
        <is>
          <t>Oct</t>
        </is>
      </c>
      <c r="AG1" s="3" t="inlineStr">
        <is>
          <t>Nov</t>
        </is>
      </c>
      <c r="AH1" s="3" t="inlineStr">
        <is>
          <t>Dec</t>
        </is>
      </c>
      <c r="AI1" s="3" t="inlineStr">
        <is>
          <t>Jan</t>
        </is>
      </c>
      <c r="AJ1" s="3" t="inlineStr">
        <is>
          <t>Feb</t>
        </is>
      </c>
      <c r="AK1" s="3" t="inlineStr">
        <is>
          <t>Mar</t>
        </is>
      </c>
      <c r="AL1" s="3" t="inlineStr">
        <is>
          <t>Apr</t>
        </is>
      </c>
      <c r="AM1" s="3" t="inlineStr">
        <is>
          <t>May</t>
        </is>
      </c>
    </row>
    <row r="2">
      <c r="A2" s="3" t="inlineStr">
        <is>
          <t>Year</t>
        </is>
      </c>
      <c r="B2" s="3" t="n">
        <v>2023</v>
      </c>
      <c r="C2" s="3" t="n">
        <v>2023</v>
      </c>
      <c r="D2" s="3" t="n">
        <v>2023</v>
      </c>
      <c r="E2" s="3" t="n">
        <v>2023</v>
      </c>
      <c r="F2" s="3" t="n">
        <v>2023</v>
      </c>
      <c r="G2" s="3" t="n">
        <v>2023</v>
      </c>
      <c r="H2" s="3" t="n">
        <v>2023</v>
      </c>
      <c r="I2" s="3" t="n">
        <v>2023</v>
      </c>
      <c r="J2" s="3" t="n">
        <v>2023</v>
      </c>
      <c r="K2" s="3" t="n">
        <v>2024</v>
      </c>
      <c r="L2" s="3" t="n">
        <v>2024</v>
      </c>
      <c r="M2" s="3" t="n">
        <v>2024</v>
      </c>
      <c r="N2" s="3" t="n">
        <v>2024</v>
      </c>
      <c r="O2" s="3" t="n">
        <v>2024</v>
      </c>
      <c r="P2" s="3" t="n">
        <v>2024</v>
      </c>
      <c r="Q2" s="3" t="n">
        <v>2024</v>
      </c>
      <c r="R2" s="3" t="n">
        <v>2024</v>
      </c>
      <c r="S2" s="3" t="n">
        <v>2024</v>
      </c>
      <c r="T2" s="3" t="n">
        <v>2024</v>
      </c>
      <c r="U2" s="3" t="n">
        <v>2024</v>
      </c>
      <c r="V2" s="3" t="n">
        <v>2024</v>
      </c>
      <c r="W2" s="3" t="n">
        <v>2025</v>
      </c>
      <c r="X2" s="3" t="n">
        <v>2025</v>
      </c>
      <c r="Y2" s="3" t="n">
        <v>2025</v>
      </c>
      <c r="Z2" s="3" t="n">
        <v>2025</v>
      </c>
      <c r="AA2" s="3" t="n">
        <v>2025</v>
      </c>
      <c r="AB2" s="3" t="n">
        <v>2025</v>
      </c>
      <c r="AC2" s="3" t="n">
        <v>2025</v>
      </c>
      <c r="AD2" s="3" t="n">
        <v>2025</v>
      </c>
      <c r="AE2" s="3" t="n">
        <v>2025</v>
      </c>
      <c r="AF2" s="3" t="n">
        <v>2025</v>
      </c>
      <c r="AG2" s="3" t="n">
        <v>2025</v>
      </c>
      <c r="AH2" s="3" t="n">
        <v>2025</v>
      </c>
      <c r="AI2" s="3" t="n">
        <v>2026</v>
      </c>
      <c r="AJ2" s="3" t="n">
        <v>2026</v>
      </c>
      <c r="AK2" s="3" t="n">
        <v>2026</v>
      </c>
      <c r="AL2" s="3" t="n">
        <v>2026</v>
      </c>
      <c r="AM2" s="3" t="n">
        <v>2026</v>
      </c>
    </row>
    <row r="3">
      <c r="A3" s="3" t="inlineStr">
        <is>
          <t>UK Tax Year</t>
        </is>
      </c>
      <c r="B3" s="3" t="inlineStr">
        <is>
          <t>23/24</t>
        </is>
      </c>
      <c r="C3" s="3" t="inlineStr">
        <is>
          <t>23/24</t>
        </is>
      </c>
      <c r="D3" s="3" t="inlineStr">
        <is>
          <t>23/24</t>
        </is>
      </c>
      <c r="E3" s="3" t="inlineStr">
        <is>
          <t>23/24</t>
        </is>
      </c>
      <c r="F3" s="3" t="inlineStr">
        <is>
          <t>23/24</t>
        </is>
      </c>
      <c r="G3" s="3" t="inlineStr">
        <is>
          <t>23/24</t>
        </is>
      </c>
      <c r="H3" s="3" t="inlineStr">
        <is>
          <t>23/24</t>
        </is>
      </c>
      <c r="I3" s="3" t="inlineStr">
        <is>
          <t>23/24</t>
        </is>
      </c>
      <c r="J3" s="3" t="inlineStr">
        <is>
          <t>23/24</t>
        </is>
      </c>
      <c r="K3" s="3" t="inlineStr">
        <is>
          <t>23/24</t>
        </is>
      </c>
      <c r="L3" s="3" t="inlineStr">
        <is>
          <t>23/24</t>
        </is>
      </c>
      <c r="M3" s="3" t="inlineStr">
        <is>
          <t>23/24</t>
        </is>
      </c>
      <c r="N3" s="3" t="inlineStr">
        <is>
          <t>24/25</t>
        </is>
      </c>
      <c r="O3" s="3" t="inlineStr">
        <is>
          <t>24/25</t>
        </is>
      </c>
      <c r="P3" s="3" t="inlineStr">
        <is>
          <t>24/25</t>
        </is>
      </c>
      <c r="Q3" s="3" t="inlineStr">
        <is>
          <t>24/25</t>
        </is>
      </c>
      <c r="R3" s="3" t="inlineStr">
        <is>
          <t>24/25</t>
        </is>
      </c>
      <c r="S3" s="3" t="inlineStr">
        <is>
          <t>24/25</t>
        </is>
      </c>
      <c r="T3" s="3" t="inlineStr">
        <is>
          <t>24/25</t>
        </is>
      </c>
      <c r="U3" s="3" t="inlineStr">
        <is>
          <t>24/25</t>
        </is>
      </c>
      <c r="V3" s="3" t="inlineStr">
        <is>
          <t>24/25</t>
        </is>
      </c>
      <c r="W3" s="3" t="inlineStr">
        <is>
          <t>24/25</t>
        </is>
      </c>
      <c r="X3" s="3" t="inlineStr">
        <is>
          <t>24/25</t>
        </is>
      </c>
      <c r="Y3" s="3" t="inlineStr">
        <is>
          <t>24/25</t>
        </is>
      </c>
      <c r="Z3" s="3" t="inlineStr">
        <is>
          <t>25/26</t>
        </is>
      </c>
      <c r="AA3" s="3" t="inlineStr">
        <is>
          <t>25/26</t>
        </is>
      </c>
      <c r="AB3" s="3" t="inlineStr">
        <is>
          <t>25/26</t>
        </is>
      </c>
      <c r="AC3" s="3" t="inlineStr">
        <is>
          <t>25/26</t>
        </is>
      </c>
      <c r="AD3" s="3" t="inlineStr">
        <is>
          <t>25/26</t>
        </is>
      </c>
      <c r="AE3" s="3" t="inlineStr">
        <is>
          <t>25/26</t>
        </is>
      </c>
      <c r="AF3" s="3" t="inlineStr">
        <is>
          <t>25/26</t>
        </is>
      </c>
      <c r="AG3" s="3" t="inlineStr">
        <is>
          <t>25/26</t>
        </is>
      </c>
      <c r="AH3" s="3" t="inlineStr">
        <is>
          <t>25/26</t>
        </is>
      </c>
      <c r="AI3" s="3" t="inlineStr">
        <is>
          <t>25/26</t>
        </is>
      </c>
      <c r="AJ3" s="3" t="inlineStr">
        <is>
          <t>25/26</t>
        </is>
      </c>
      <c r="AK3" s="3" t="inlineStr">
        <is>
          <t>25/26</t>
        </is>
      </c>
      <c r="AL3" s="3" t="inlineStr">
        <is>
          <t>26/27</t>
        </is>
      </c>
      <c r="AM3" s="3" t="inlineStr">
        <is>
          <t>26/27</t>
        </is>
      </c>
    </row>
    <row r="4">
      <c r="A4" s="3" t="inlineStr">
        <is>
          <t>Swedish Tax Year</t>
        </is>
      </c>
      <c r="B4" s="3" t="inlineStr">
        <is>
          <t>2023</t>
        </is>
      </c>
      <c r="C4" s="3" t="inlineStr">
        <is>
          <t>2023</t>
        </is>
      </c>
      <c r="D4" s="3" t="inlineStr">
        <is>
          <t>2023</t>
        </is>
      </c>
      <c r="E4" s="3" t="inlineStr">
        <is>
          <t>2023</t>
        </is>
      </c>
      <c r="F4" s="3" t="inlineStr">
        <is>
          <t>2023</t>
        </is>
      </c>
      <c r="G4" s="3" t="inlineStr">
        <is>
          <t>2023</t>
        </is>
      </c>
      <c r="H4" s="3" t="inlineStr">
        <is>
          <t>2023</t>
        </is>
      </c>
      <c r="I4" s="3" t="inlineStr">
        <is>
          <t>2023</t>
        </is>
      </c>
      <c r="J4" s="3" t="inlineStr">
        <is>
          <t>2023</t>
        </is>
      </c>
      <c r="K4" s="3" t="inlineStr">
        <is>
          <t>2024</t>
        </is>
      </c>
      <c r="L4" s="3" t="inlineStr">
        <is>
          <t>2024</t>
        </is>
      </c>
      <c r="M4" s="3" t="inlineStr">
        <is>
          <t>2024</t>
        </is>
      </c>
      <c r="N4" s="3" t="inlineStr">
        <is>
          <t>2024</t>
        </is>
      </c>
      <c r="O4" s="3" t="inlineStr">
        <is>
          <t>2024</t>
        </is>
      </c>
      <c r="P4" s="3" t="inlineStr">
        <is>
          <t>2024</t>
        </is>
      </c>
      <c r="Q4" s="3" t="inlineStr">
        <is>
          <t>2024</t>
        </is>
      </c>
      <c r="R4" s="3" t="inlineStr">
        <is>
          <t>2024</t>
        </is>
      </c>
      <c r="S4" s="3" t="inlineStr">
        <is>
          <t>2024</t>
        </is>
      </c>
      <c r="T4" s="3" t="inlineStr">
        <is>
          <t>2024</t>
        </is>
      </c>
      <c r="U4" s="3" t="inlineStr">
        <is>
          <t>2024</t>
        </is>
      </c>
      <c r="V4" s="3" t="inlineStr">
        <is>
          <t>2024</t>
        </is>
      </c>
      <c r="W4" s="3" t="inlineStr">
        <is>
          <t>2025</t>
        </is>
      </c>
      <c r="X4" s="3" t="inlineStr">
        <is>
          <t>2025</t>
        </is>
      </c>
      <c r="Y4" s="3" t="inlineStr">
        <is>
          <t>2025</t>
        </is>
      </c>
      <c r="Z4" s="3" t="inlineStr">
        <is>
          <t>2025</t>
        </is>
      </c>
      <c r="AA4" s="3" t="inlineStr">
        <is>
          <t>2025</t>
        </is>
      </c>
      <c r="AB4" s="3" t="inlineStr">
        <is>
          <t>2025</t>
        </is>
      </c>
      <c r="AC4" s="3" t="inlineStr">
        <is>
          <t>2025</t>
        </is>
      </c>
      <c r="AD4" s="3" t="inlineStr">
        <is>
          <t>2025</t>
        </is>
      </c>
      <c r="AE4" s="3" t="inlineStr">
        <is>
          <t>2025</t>
        </is>
      </c>
      <c r="AF4" s="3" t="inlineStr">
        <is>
          <t>2025</t>
        </is>
      </c>
      <c r="AG4" s="3" t="inlineStr">
        <is>
          <t>2025</t>
        </is>
      </c>
      <c r="AH4" s="3" t="inlineStr">
        <is>
          <t>2025</t>
        </is>
      </c>
      <c r="AI4" s="3" t="inlineStr">
        <is>
          <t>2026</t>
        </is>
      </c>
      <c r="AJ4" s="3" t="inlineStr">
        <is>
          <t>2026</t>
        </is>
      </c>
      <c r="AK4" s="3" t="inlineStr">
        <is>
          <t>2026</t>
        </is>
      </c>
      <c r="AL4" s="3" t="inlineStr">
        <is>
          <t>2026</t>
        </is>
      </c>
      <c r="AM4" s="3" t="inlineStr">
        <is>
          <t>2026</t>
        </is>
      </c>
    </row>
    <row r="5">
      <c r="A5" s="3" t="inlineStr">
        <is>
          <t>Opening (£)</t>
        </is>
      </c>
      <c r="B5" s="9" t="n">
        <v>204100.03</v>
      </c>
      <c r="C5" s="9" t="n">
        <v>202813.07</v>
      </c>
      <c r="D5" s="9" t="n">
        <v>202124.57</v>
      </c>
      <c r="E5" s="9" t="n">
        <v>201435.19</v>
      </c>
      <c r="F5" s="9" t="n">
        <v>200744.97</v>
      </c>
      <c r="G5" s="9" t="n">
        <v>200053.89</v>
      </c>
      <c r="H5" s="9" t="n">
        <v>199361.95</v>
      </c>
      <c r="I5" s="9" t="n">
        <v>198669.15</v>
      </c>
      <c r="J5" s="9" t="n">
        <v>197275.49</v>
      </c>
      <c r="K5" s="9" t="n">
        <v>195880.1</v>
      </c>
      <c r="L5" s="9" t="n">
        <v>194482.99</v>
      </c>
      <c r="M5" s="9" t="n">
        <v>193084.14</v>
      </c>
      <c r="N5" s="9" t="n">
        <v>191683.56</v>
      </c>
      <c r="O5" s="9" t="n">
        <v>190281.24</v>
      </c>
      <c r="P5" s="9" t="n">
        <v>188877.18</v>
      </c>
      <c r="Q5" s="9" t="n">
        <v>187471.37</v>
      </c>
      <c r="R5" s="9" t="n">
        <v>186063.82</v>
      </c>
      <c r="S5" s="9" t="n">
        <v>184654.52</v>
      </c>
      <c r="T5" s="9" t="n">
        <v>183243.47</v>
      </c>
      <c r="U5" s="9" t="n">
        <v>181830.67</v>
      </c>
      <c r="V5" s="9" t="n">
        <v>180416.11</v>
      </c>
      <c r="W5" s="9" t="n">
        <v>178999.86</v>
      </c>
      <c r="X5" s="9" t="n">
        <v>178281.79</v>
      </c>
      <c r="Y5" s="9" t="n">
        <v>179311.84</v>
      </c>
      <c r="Z5" s="9" t="n">
        <v>178764.94</v>
      </c>
      <c r="AA5" s="9" t="n">
        <v>178764.94</v>
      </c>
      <c r="AB5" s="9" t="n">
        <v>178764.94</v>
      </c>
      <c r="AC5" s="9" t="n">
        <v>178764.94</v>
      </c>
      <c r="AD5" s="9" t="n">
        <v>178764.94</v>
      </c>
      <c r="AE5" s="9" t="n">
        <v>178764.94</v>
      </c>
      <c r="AF5" s="9" t="n">
        <v>178764.94</v>
      </c>
      <c r="AG5" s="9" t="n">
        <v>178764.94</v>
      </c>
      <c r="AH5" s="9" t="n">
        <v>178764.94</v>
      </c>
      <c r="AI5" s="9" t="n">
        <v>178764.94</v>
      </c>
      <c r="AJ5" s="9" t="n">
        <v>178764.94</v>
      </c>
      <c r="AK5" s="9" t="n">
        <v>178764.94</v>
      </c>
      <c r="AL5" s="9" t="n">
        <v>178764.94</v>
      </c>
      <c r="AM5" s="9" t="n">
        <v>178764.94</v>
      </c>
      <c r="AN5" s="5" t="n"/>
    </row>
    <row r="6">
      <c r="A6" s="3" t="inlineStr">
        <is>
          <t>Interest charged (£)</t>
        </is>
      </c>
      <c r="B6" s="9" t="n">
        <v>253.42</v>
      </c>
      <c r="C6" s="9" t="n">
        <v>251.85</v>
      </c>
      <c r="D6" s="9" t="n">
        <v>250.97</v>
      </c>
      <c r="E6" s="9" t="n">
        <v>250.12</v>
      </c>
      <c r="F6" s="9" t="n">
        <v>249.26</v>
      </c>
      <c r="G6" s="9" t="n">
        <v>248.4</v>
      </c>
      <c r="H6" s="9" t="n">
        <v>247.54</v>
      </c>
      <c r="I6" s="9" t="n">
        <v>246.68</v>
      </c>
      <c r="J6" s="9" t="n">
        <v>244.95</v>
      </c>
      <c r="K6" s="9" t="n">
        <v>243.22</v>
      </c>
      <c r="L6" s="9" t="n">
        <v>241.48</v>
      </c>
      <c r="M6" s="9" t="n">
        <v>239.75</v>
      </c>
      <c r="N6" s="9" t="n">
        <v>238.01</v>
      </c>
      <c r="O6" s="9" t="n">
        <v>236.27</v>
      </c>
      <c r="P6" s="9" t="n">
        <v>234.52</v>
      </c>
      <c r="Q6" s="9" t="n">
        <v>232.78</v>
      </c>
      <c r="R6" s="9" t="n">
        <v>231.03</v>
      </c>
      <c r="S6" s="9" t="n">
        <v>229.28</v>
      </c>
      <c r="T6" s="9" t="n">
        <v>227.53</v>
      </c>
      <c r="U6" s="9" t="n">
        <v>225.77</v>
      </c>
      <c r="V6" s="9" t="n">
        <v>224.02</v>
      </c>
      <c r="W6" s="9" t="n">
        <v>222.26</v>
      </c>
      <c r="X6" s="9" t="n">
        <v>221.37</v>
      </c>
      <c r="Y6" s="9" t="n">
        <v>638.98</v>
      </c>
      <c r="Z6" s="9" t="n">
        <v>652.49</v>
      </c>
      <c r="AA6" s="9" t="n">
        <v>652.49</v>
      </c>
      <c r="AB6" s="9" t="n">
        <v>652.49</v>
      </c>
      <c r="AC6" s="9" t="n">
        <v>652.49</v>
      </c>
      <c r="AD6" s="9" t="n">
        <v>652.49</v>
      </c>
      <c r="AE6" s="9" t="n">
        <v>652.49</v>
      </c>
      <c r="AF6" s="9" t="n">
        <v>652.49</v>
      </c>
      <c r="AG6" s="9" t="n">
        <v>652.49</v>
      </c>
      <c r="AH6" s="9" t="n">
        <v>652.49</v>
      </c>
      <c r="AI6" s="9" t="n">
        <v>652.49</v>
      </c>
      <c r="AJ6" s="9" t="n">
        <v>652.49</v>
      </c>
      <c r="AK6" s="9" t="n">
        <v>652.49</v>
      </c>
      <c r="AL6" s="9" t="n">
        <v>652.49</v>
      </c>
      <c r="AM6" s="9" t="n">
        <v>652.49</v>
      </c>
    </row>
    <row r="7">
      <c r="A7" s="3" t="inlineStr">
        <is>
          <t>Capital paid (£)</t>
        </is>
      </c>
      <c r="B7" s="9" t="n">
        <v>1286.96</v>
      </c>
      <c r="C7" s="9" t="n">
        <v>688.5</v>
      </c>
      <c r="D7" s="9" t="n">
        <v>689.38</v>
      </c>
      <c r="E7" s="9" t="n">
        <v>690.22</v>
      </c>
      <c r="F7" s="9" t="n">
        <v>691.08</v>
      </c>
      <c r="G7" s="9" t="n">
        <v>691.9400000000001</v>
      </c>
      <c r="H7" s="9" t="n">
        <v>692.8</v>
      </c>
      <c r="I7" s="9" t="n">
        <v>1393.66</v>
      </c>
      <c r="J7" s="9" t="n">
        <v>1395.39</v>
      </c>
      <c r="K7" s="9" t="n">
        <v>1397.11</v>
      </c>
      <c r="L7" s="9" t="n">
        <v>1398.85</v>
      </c>
      <c r="M7" s="9" t="n">
        <v>1400.58</v>
      </c>
      <c r="N7" s="9" t="n">
        <v>1402.32</v>
      </c>
      <c r="O7" s="9" t="n">
        <v>1404.06</v>
      </c>
      <c r="P7" s="9" t="n">
        <v>1405.81</v>
      </c>
      <c r="Q7" s="9" t="n">
        <v>1407.55</v>
      </c>
      <c r="R7" s="9" t="n">
        <v>1409.3</v>
      </c>
      <c r="S7" s="9" t="n">
        <v>1411.05</v>
      </c>
      <c r="T7" s="9" t="n">
        <v>1412.8</v>
      </c>
      <c r="U7" s="9" t="n">
        <v>1414.56</v>
      </c>
      <c r="V7" s="9" t="n">
        <v>1416.31</v>
      </c>
      <c r="W7" s="9" t="n">
        <v>718.0700000000001</v>
      </c>
      <c r="X7" s="9" t="n">
        <v>718.95</v>
      </c>
      <c r="Y7" s="9" t="n">
        <v>546.9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6" t="n"/>
    </row>
    <row r="8">
      <c r="A8" s="3" t="inlineStr">
        <is>
          <t>Product fee (£)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1749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  <c r="AN8" s="6" t="n"/>
    </row>
    <row r="9">
      <c r="A9" s="3" t="inlineStr">
        <is>
          <t>Closing (£)</t>
        </is>
      </c>
      <c r="B9" s="9" t="n">
        <v>202813.07</v>
      </c>
      <c r="C9" s="9" t="n">
        <v>202124.57</v>
      </c>
      <c r="D9" s="9" t="n">
        <v>201435.19</v>
      </c>
      <c r="E9" s="9" t="n">
        <v>200744.97</v>
      </c>
      <c r="F9" s="9" t="n">
        <v>200053.89</v>
      </c>
      <c r="G9" s="9" t="n">
        <v>199361.95</v>
      </c>
      <c r="H9" s="9" t="n">
        <v>198669.15</v>
      </c>
      <c r="I9" s="9" t="n">
        <v>197275.49</v>
      </c>
      <c r="J9" s="9" t="n">
        <v>195880.1</v>
      </c>
      <c r="K9" s="9" t="n">
        <v>194482.99</v>
      </c>
      <c r="L9" s="9" t="n">
        <v>193084.14</v>
      </c>
      <c r="M9" s="9" t="n">
        <v>191683.56</v>
      </c>
      <c r="N9" s="9" t="n">
        <v>190281.24</v>
      </c>
      <c r="O9" s="9" t="n">
        <v>188877.18</v>
      </c>
      <c r="P9" s="9" t="n">
        <v>187471.37</v>
      </c>
      <c r="Q9" s="9" t="n">
        <v>186063.82</v>
      </c>
      <c r="R9" s="9" t="n">
        <v>184654.52</v>
      </c>
      <c r="S9" s="9" t="n">
        <v>183243.47</v>
      </c>
      <c r="T9" s="9" t="n">
        <v>181830.67</v>
      </c>
      <c r="U9" s="9" t="n">
        <v>180416.11</v>
      </c>
      <c r="V9" s="9" t="n">
        <v>178999.8</v>
      </c>
      <c r="W9" s="9" t="n">
        <v>178281.79</v>
      </c>
      <c r="X9" s="9" t="n">
        <v>179311.84</v>
      </c>
      <c r="Y9" s="9" t="n">
        <v>178764.94</v>
      </c>
      <c r="Z9" s="9" t="n">
        <v>178764.94</v>
      </c>
      <c r="AA9" s="9" t="n">
        <v>178764.94</v>
      </c>
      <c r="AB9" s="9" t="n">
        <v>178764.94</v>
      </c>
      <c r="AC9" s="9" t="n">
        <v>178764.94</v>
      </c>
      <c r="AD9" s="9" t="n">
        <v>178764.94</v>
      </c>
      <c r="AE9" s="9" t="n">
        <v>178764.94</v>
      </c>
      <c r="AF9" s="9" t="n">
        <v>178764.94</v>
      </c>
      <c r="AG9" s="9" t="n">
        <v>178764.94</v>
      </c>
      <c r="AH9" s="9" t="n">
        <v>178764.94</v>
      </c>
      <c r="AI9" s="9" t="n">
        <v>178764.94</v>
      </c>
      <c r="AJ9" s="9" t="n">
        <v>178764.94</v>
      </c>
      <c r="AK9" s="9" t="n">
        <v>178764.94</v>
      </c>
      <c r="AL9" s="9" t="n">
        <v>178764.94</v>
      </c>
      <c r="AM9" s="9" t="n">
        <v>178764.94</v>
      </c>
      <c r="AN9" s="6" t="n"/>
    </row>
    <row r="10"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</row>
    <row r="11"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</row>
    <row r="12"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</row>
    <row r="13"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</row>
    <row r="14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</row>
    <row r="15"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62" customWidth="1" style="4" min="1" max="1"/>
    <col width="14" customWidth="1" style="4" min="2" max="2"/>
    <col width="15" customWidth="1" style="4" min="3" max="3"/>
    <col width="30" customWidth="1" style="4" min="4" max="4"/>
  </cols>
  <sheetData>
    <row r="1">
      <c r="A1" s="11" t="inlineStr">
        <is>
          <t>Tax calculation — UK 24/25 + Swedish 2024</t>
        </is>
      </c>
    </row>
    <row r="3">
      <c r="A3" s="13" t="inlineStr">
        <is>
          <t>Parameters (edit these to recalc):</t>
        </is>
      </c>
      <c r="B3" s="14" t="n"/>
      <c r="C3" s="14" t="n"/>
      <c r="D3" s="14" t="n"/>
      <c r="E3" s="14" t="n"/>
    </row>
    <row r="4">
      <c r="A4" s="12" t="inlineStr">
        <is>
          <t>FX rate (SEK per GBP)</t>
        </is>
      </c>
      <c r="B4" t="n">
        <v>13.50453</v>
      </c>
      <c r="C4" t="inlineStr">
        <is>
          <t>Riksbanken 2024 annual average</t>
        </is>
      </c>
    </row>
    <row r="5">
      <c r="A5" t="inlineStr">
        <is>
          <t>UK tax year (label/float)</t>
        </is>
      </c>
      <c r="B5" t="n">
        <v>24.25</v>
      </c>
      <c r="C5" t="inlineStr">
        <is>
          <t>24/25</t>
        </is>
      </c>
    </row>
    <row r="6">
      <c r="A6" t="inlineStr">
        <is>
          <t>Swedish tax year</t>
        </is>
      </c>
      <c r="B6" t="n">
        <v>2024</v>
      </c>
      <c r="C6" t="inlineStr">
        <is>
          <t>2024</t>
        </is>
      </c>
    </row>
    <row r="7">
      <c r="A7" t="inlineStr">
        <is>
          <t>UK personal allowance</t>
        </is>
      </c>
      <c r="B7" t="n">
        <v>12570</v>
      </c>
    </row>
    <row r="8">
      <c r="A8" t="inlineStr">
        <is>
          <t>UK basic rate</t>
        </is>
      </c>
      <c r="B8" t="n">
        <v>0.2</v>
      </c>
    </row>
    <row r="9">
      <c r="A9" t="inlineStr">
        <is>
          <t>UK financing-cost credit rate</t>
        </is>
      </c>
      <c r="B9" t="n">
        <v>0.2</v>
      </c>
    </row>
    <row r="10">
      <c r="A10" t="inlineStr">
        <is>
          <t>Swedish standard deduction (SEK)</t>
        </is>
      </c>
      <c r="B10" t="n">
        <v>40000</v>
      </c>
    </row>
    <row r="11">
      <c r="A11" t="inlineStr">
        <is>
          <t>Swedish % deduction (of rental income)</t>
        </is>
      </c>
      <c r="B11" t="n">
        <v>0.2</v>
      </c>
    </row>
    <row r="12">
      <c r="A12" t="inlineStr">
        <is>
          <t>Swedish capital income tax rate</t>
        </is>
      </c>
      <c r="B12" t="n">
        <v>0.3</v>
      </c>
    </row>
    <row r="14">
      <c r="A14" s="13" t="inlineStr">
        <is>
          <t>UK tax year 24/25 (6 April to 5 April)</t>
        </is>
      </c>
      <c r="B14" s="14" t="n"/>
      <c r="C14" s="14" t="n"/>
      <c r="D14" s="14" t="n"/>
      <c r="E14" s="14" t="n"/>
    </row>
    <row r="15">
      <c r="B15" s="12" t="inlineStr">
        <is>
          <t>GBP</t>
        </is>
      </c>
    </row>
    <row r="16">
      <c r="A16" t="inlineStr">
        <is>
          <t>Rental Income</t>
        </is>
      </c>
      <c r="B16">
        <f>SUMIF('76A Ingelow Road'!$C$2:$AY$2,$B$5,'76A Ingelow Road'!$C$6:$AY$6)</f>
        <v/>
      </c>
    </row>
    <row r="17">
      <c r="A17" t="inlineStr">
        <is>
          <t>Knight Frank Commission (mgmt + letting)</t>
        </is>
      </c>
      <c r="B17">
        <f>SUMIF('76A Ingelow Road'!$C$2:$AY$2,$B$5,'76A Ingelow Road'!$C$10:$AY$10)+SUMIF('76A Ingelow Road'!$C$2:$AY$2,$B$5,'76A Ingelow Road'!$C$11:$AY$11)</f>
        <v/>
      </c>
    </row>
    <row r="18">
      <c r="A18" s="12" t="inlineStr">
        <is>
          <t>Net Income before Expenses</t>
        </is>
      </c>
      <c r="B18" s="12">
        <f>$B$16+$B$17</f>
        <v/>
      </c>
    </row>
    <row r="19">
      <c r="A19" t="inlineStr">
        <is>
          <t>Repair and Maintenance Expenses</t>
        </is>
      </c>
      <c r="B19">
        <f>SUMIF('76A Ingelow Road'!$C$2:$AY$2,$B$5,'76A Ingelow Road'!$C$13:$AY$13)</f>
        <v/>
      </c>
    </row>
    <row r="20">
      <c r="A20" s="12" t="inlineStr">
        <is>
          <t>Taxable Property Profit (SA105 box 38/40)</t>
        </is>
      </c>
      <c r="B20" s="15">
        <f>$B$18+$B$19</f>
        <v/>
      </c>
    </row>
    <row r="22">
      <c r="A22" s="16" t="inlineStr">
        <is>
          <t>Memo — residential property finance costs (SA105 box 44):</t>
        </is>
      </c>
    </row>
    <row r="23">
      <c r="A23" t="inlineStr">
        <is>
          <t xml:space="preserve">  Mortgage interest</t>
        </is>
      </c>
      <c r="B23">
        <f>SUMIF('Santander'!$B$3:$AN$3,$C$5,'Santander'!$B$6:$AN$6)</f>
        <v/>
      </c>
    </row>
    <row r="24">
      <c r="A24" t="inlineStr">
        <is>
          <t xml:space="preserve">  Mortgage product fees</t>
        </is>
      </c>
      <c r="B24">
        <f>SUMIF('Santander'!$B$3:$AN$3,$C$5,'Santander'!$B$8:$AN$8)</f>
        <v/>
      </c>
    </row>
    <row r="25">
      <c r="A25" s="12" t="inlineStr">
        <is>
          <t xml:space="preserve">  Total residential finance costs</t>
        </is>
      </c>
      <c r="B25" s="12">
        <f>$B$23+$B$24</f>
        <v/>
      </c>
    </row>
    <row r="27">
      <c r="A27" s="13" t="inlineStr">
        <is>
          <t>UK tax calculation</t>
        </is>
      </c>
      <c r="B27" s="14" t="n"/>
      <c r="C27" s="14" t="n"/>
      <c r="D27" s="14" t="n"/>
      <c r="E27" s="14" t="n"/>
    </row>
    <row r="28">
      <c r="A28" t="inlineStr">
        <is>
          <t>Total taxable income (property profit)</t>
        </is>
      </c>
      <c r="B28">
        <f>$B$20</f>
        <v/>
      </c>
    </row>
    <row r="29">
      <c r="A29" t="inlineStr">
        <is>
          <t>Above personal allowance</t>
        </is>
      </c>
      <c r="B29">
        <f>MAX(0,$B$20-$B$7)</f>
        <v/>
      </c>
    </row>
    <row r="30">
      <c r="A30" t="inlineStr">
        <is>
          <t>Basic rate tax (= above PA × basic rate)</t>
        </is>
      </c>
      <c r="B30">
        <f>$B$29*$B$8</f>
        <v/>
      </c>
    </row>
    <row r="31">
      <c r="A31" t="inlineStr">
        <is>
          <t>Less: financing cost credit (finance costs × credit rate)</t>
        </is>
      </c>
      <c r="B31">
        <f>-$B$25*$B$9</f>
        <v/>
      </c>
    </row>
    <row r="32">
      <c r="A32" s="12" t="inlineStr">
        <is>
          <t>Net UK Tax</t>
        </is>
      </c>
      <c r="B32" s="17">
        <f>$B$30+$B$31</f>
        <v/>
      </c>
    </row>
    <row r="35">
      <c r="A35" s="13" t="inlineStr">
        <is>
          <t>Swedish tax year 2024 (1 January to 31 December)</t>
        </is>
      </c>
      <c r="B35" s="14" t="n"/>
      <c r="C35" s="14" t="n"/>
      <c r="D35" s="14" t="n"/>
      <c r="E35" s="14" t="n"/>
    </row>
    <row r="36">
      <c r="B36" s="12" t="inlineStr">
        <is>
          <t>GBP</t>
        </is>
      </c>
      <c r="C36" s="12" t="inlineStr">
        <is>
          <t>SEK</t>
        </is>
      </c>
    </row>
    <row r="37">
      <c r="A37" t="inlineStr">
        <is>
          <t>Rental Income</t>
        </is>
      </c>
      <c r="B37">
        <f>SUMIF('76A Ingelow Road'!$C$1:$AY$1,$B$6,'76A Ingelow Road'!$C$6:$AY$6)</f>
        <v/>
      </c>
      <c r="C37">
        <f>B37*$B$4</f>
        <v/>
      </c>
    </row>
    <row r="38">
      <c r="A38" t="inlineStr">
        <is>
          <t>Knight Frank Commission</t>
        </is>
      </c>
      <c r="B38">
        <f>SUMIF('76A Ingelow Road'!$C$1:$AY$1,$B$6,'76A Ingelow Road'!$C$10:$AY$10)+SUMIF('76A Ingelow Road'!$C$1:$AY$1,$B$6,'76A Ingelow Road'!$C$11:$AY$11)</f>
        <v/>
      </c>
      <c r="C38">
        <f>B38*$B$4</f>
        <v/>
      </c>
    </row>
    <row r="39">
      <c r="A39" s="12" t="inlineStr">
        <is>
          <t>Rental income net of commission (basis for schablonavdrag)</t>
        </is>
      </c>
      <c r="B39" s="15">
        <f>$B$37+$B$38</f>
        <v/>
      </c>
      <c r="C39" s="15">
        <f>B39*$B$4</f>
        <v/>
      </c>
    </row>
    <row r="41">
      <c r="A41" s="16" t="inlineStr">
        <is>
          <t>Schablonavdrag (replaces actual expense deduction):</t>
        </is>
      </c>
    </row>
    <row r="42">
      <c r="A42" t="inlineStr">
        <is>
          <t xml:space="preserve">  Standard SEK 40,000 deduction</t>
        </is>
      </c>
      <c r="B42">
        <f>-$B$10/$B$4</f>
        <v/>
      </c>
      <c r="C42">
        <f>-$B$10</f>
        <v/>
      </c>
    </row>
    <row r="43">
      <c r="A43" t="inlineStr">
        <is>
          <t xml:space="preserve">  20% of rental income (net of commission)</t>
        </is>
      </c>
      <c r="B43">
        <f>-$B$39*$B$11</f>
        <v/>
      </c>
      <c r="C43">
        <f>B43*$B$4</f>
        <v/>
      </c>
    </row>
    <row r="44">
      <c r="A44" s="12" t="inlineStr">
        <is>
          <t>Box 7.3 — Överskott vid uthyrning av privatbostad</t>
        </is>
      </c>
      <c r="B44" s="17">
        <f>$B$39+$B$42+$B$43</f>
        <v/>
      </c>
      <c r="C44" s="17">
        <f>B44*$B$4</f>
        <v/>
      </c>
    </row>
    <row r="46">
      <c r="A46" s="16" t="inlineStr">
        <is>
          <t>Memo — repairs (not deductible under schablonavdrag):</t>
        </is>
      </c>
      <c r="B46" s="16">
        <f>SUMIF('76A Ingelow Road'!$C$1:$AY$1,$B$6,'76A Ingelow Road'!$C$13:$AY$13)</f>
        <v/>
      </c>
    </row>
    <row r="48">
      <c r="A48" s="13" t="inlineStr">
        <is>
          <t>Box 8.1 — Ränteutgifter (mortgage interest + fees)</t>
        </is>
      </c>
      <c r="B48" s="14" t="n"/>
      <c r="C48" s="14" t="n"/>
      <c r="D48" s="14" t="n"/>
      <c r="E48" s="14" t="n"/>
    </row>
    <row r="49">
      <c r="A49" t="inlineStr">
        <is>
          <t>Mortgage interest (calendar year)</t>
        </is>
      </c>
      <c r="B49">
        <f>SUMIF('Santander'!$B$4:$AN$4,$C$6,'Santander'!$B$6:$AN$6)</f>
        <v/>
      </c>
      <c r="C49">
        <f>B49*$B$4</f>
        <v/>
      </c>
    </row>
    <row r="50">
      <c r="A50" t="inlineStr">
        <is>
          <t>Mortgage product fees (deductible)</t>
        </is>
      </c>
      <c r="B50">
        <f>SUMIF('Santander'!$B$4:$AN$4,$C$6,'Santander'!$B$8:$AN$8)</f>
        <v/>
      </c>
      <c r="C50">
        <f>B50*$B$4</f>
        <v/>
      </c>
    </row>
    <row r="51">
      <c r="A51" s="12" t="inlineStr">
        <is>
          <t>Box 8.1 total</t>
        </is>
      </c>
      <c r="B51" s="17">
        <f>$B$49+$B$50</f>
        <v/>
      </c>
      <c r="C51" s="17">
        <f>B51*$B$4</f>
        <v/>
      </c>
    </row>
    <row r="53">
      <c r="A53" s="13" t="inlineStr">
        <is>
          <t>Foreign tax credit (Avräkning utländsk skatt)</t>
        </is>
      </c>
      <c r="B53" s="14" t="n"/>
      <c r="C53" s="14" t="n"/>
      <c r="D53" s="14" t="n"/>
      <c r="E53" s="14" t="n"/>
    </row>
    <row r="54">
      <c r="A54" t="inlineStr">
        <is>
          <t>UK prior year tax × 3/12 (Jan-Mar fell in old UK year)</t>
        </is>
      </c>
      <c r="B54">
        <f>1128*3/12</f>
        <v/>
      </c>
      <c r="C54">
        <f>B54*$B$4</f>
        <v/>
      </c>
    </row>
    <row r="55">
      <c r="A55" t="inlineStr">
        <is>
          <t>UK current year tax × 9/12 (Apr-Dec)</t>
        </is>
      </c>
      <c r="B55">
        <f>$B$32*9/12</f>
        <v/>
      </c>
      <c r="C55">
        <f>B55*$B$4</f>
        <v/>
      </c>
    </row>
    <row r="56">
      <c r="A56" s="12" t="inlineStr">
        <is>
          <t>Apportioned FTC for Swedish 2024</t>
        </is>
      </c>
      <c r="B56" s="17">
        <f>1128*3/12+$B$32*9/12</f>
        <v/>
      </c>
      <c r="C56" s="17">
        <f>B56*$B$4</f>
        <v/>
      </c>
    </row>
    <row r="59">
      <c r="A59" s="13" t="inlineStr">
        <is>
          <t>Swedish tax payable on rental property (marginal calc)</t>
        </is>
      </c>
      <c r="B59" s="14" t="n"/>
      <c r="C59" s="14" t="n"/>
      <c r="D59" s="14" t="n"/>
      <c r="E59" s="14" t="n"/>
    </row>
    <row r="60">
      <c r="A60" s="16" t="inlineStr">
        <is>
          <t>Note: capital income (rental, interest, dividends) is taxed at flat 30% in Sweden.</t>
        </is>
      </c>
    </row>
    <row r="61">
      <c r="A61" s="16" t="inlineStr">
        <is>
          <t>Other income (salary ~800,000 SEK) is in earned income (~50% marginal); does not affect this calc.</t>
        </is>
      </c>
    </row>
    <row r="63">
      <c r="A63" t="inlineStr">
        <is>
          <t>Net capital income (Box 7.3 - Box 8.1)</t>
        </is>
      </c>
      <c r="B63">
        <f>$B$44-$B$51</f>
        <v/>
      </c>
      <c r="C63">
        <f>B63*$B$4</f>
        <v/>
      </c>
    </row>
    <row r="64">
      <c r="A64" t="inlineStr">
        <is>
          <t>Capital tax @ 30% (gross, before foreign tax credit)</t>
        </is>
      </c>
      <c r="B64">
        <f>$B$63*$B$12</f>
        <v/>
      </c>
      <c r="C64">
        <f>B64*$B$4</f>
        <v/>
      </c>
    </row>
    <row r="65">
      <c r="A65" t="inlineStr">
        <is>
          <t>Less: Foreign tax credit</t>
        </is>
      </c>
      <c r="B65">
        <f>-$B$56</f>
        <v/>
      </c>
      <c r="C65">
        <f>B65*$B$4</f>
        <v/>
      </c>
    </row>
    <row r="66">
      <c r="A66" s="12" t="inlineStr">
        <is>
          <t>Swedish tax payable on this property</t>
        </is>
      </c>
      <c r="B66" s="17">
        <f>$B$64-$B$56</f>
        <v/>
      </c>
      <c r="C66" s="17">
        <f>B66*$B$4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62" customWidth="1" style="4" min="1" max="1"/>
    <col width="14" customWidth="1" style="4" min="2" max="2"/>
    <col width="15" customWidth="1" style="4" min="3" max="3"/>
    <col width="30" customWidth="1" style="4" min="4" max="4"/>
  </cols>
  <sheetData>
    <row r="1">
      <c r="A1" s="11" t="inlineStr">
        <is>
          <t>Tax calculation — UK 25/26 + Swedish 2025</t>
        </is>
      </c>
    </row>
    <row r="3">
      <c r="A3" s="13" t="inlineStr">
        <is>
          <t>Parameters (edit these to recalc):</t>
        </is>
      </c>
      <c r="B3" s="14" t="n"/>
      <c r="C3" s="14" t="n"/>
      <c r="D3" s="14" t="n"/>
      <c r="E3" s="14" t="n"/>
    </row>
    <row r="4">
      <c r="A4" s="12" t="inlineStr">
        <is>
          <t>FX rate (SEK per GBP)</t>
        </is>
      </c>
      <c r="B4" t="n">
        <v>12.92163</v>
      </c>
      <c r="C4" t="inlineStr">
        <is>
          <t>Riksbanken 2025 annual average</t>
        </is>
      </c>
    </row>
    <row r="5">
      <c r="A5" t="inlineStr">
        <is>
          <t>UK tax year (label/float)</t>
        </is>
      </c>
      <c r="B5" t="n">
        <v>25.26</v>
      </c>
      <c r="C5" t="inlineStr">
        <is>
          <t>25/26</t>
        </is>
      </c>
    </row>
    <row r="6">
      <c r="A6" t="inlineStr">
        <is>
          <t>Swedish tax year</t>
        </is>
      </c>
      <c r="B6" t="n">
        <v>2025</v>
      </c>
      <c r="C6" t="inlineStr">
        <is>
          <t>2025</t>
        </is>
      </c>
    </row>
    <row r="7">
      <c r="A7" t="inlineStr">
        <is>
          <t>UK personal allowance</t>
        </is>
      </c>
      <c r="B7" t="n">
        <v>12570</v>
      </c>
    </row>
    <row r="8">
      <c r="A8" t="inlineStr">
        <is>
          <t>UK basic rate</t>
        </is>
      </c>
      <c r="B8" t="n">
        <v>0.2</v>
      </c>
    </row>
    <row r="9">
      <c r="A9" t="inlineStr">
        <is>
          <t>UK financing-cost credit rate</t>
        </is>
      </c>
      <c r="B9" t="n">
        <v>0.2</v>
      </c>
    </row>
    <row r="10">
      <c r="A10" t="inlineStr">
        <is>
          <t>Swedish standard deduction (SEK)</t>
        </is>
      </c>
      <c r="B10" t="n">
        <v>40000</v>
      </c>
    </row>
    <row r="11">
      <c r="A11" t="inlineStr">
        <is>
          <t>Swedish % deduction (of rental income)</t>
        </is>
      </c>
      <c r="B11" t="n">
        <v>0.2</v>
      </c>
    </row>
    <row r="12">
      <c r="A12" t="inlineStr">
        <is>
          <t>Swedish capital income tax rate</t>
        </is>
      </c>
      <c r="B12" t="n">
        <v>0.3</v>
      </c>
    </row>
    <row r="14">
      <c r="A14" s="13" t="inlineStr">
        <is>
          <t>UK tax year 25/26 (6 April to 5 April)</t>
        </is>
      </c>
      <c r="B14" s="14" t="n"/>
      <c r="C14" s="14" t="n"/>
      <c r="D14" s="14" t="n"/>
      <c r="E14" s="14" t="n"/>
    </row>
    <row r="15">
      <c r="B15" s="12" t="inlineStr">
        <is>
          <t>GBP</t>
        </is>
      </c>
    </row>
    <row r="16">
      <c r="A16" t="inlineStr">
        <is>
          <t>Rental Income</t>
        </is>
      </c>
      <c r="B16">
        <f>SUMIF('76A Ingelow Road'!$C$2:$AY$2,$B$5,'76A Ingelow Road'!$C$6:$AY$6)</f>
        <v/>
      </c>
    </row>
    <row r="17">
      <c r="A17" t="inlineStr">
        <is>
          <t>Knight Frank Commission (mgmt + letting)</t>
        </is>
      </c>
      <c r="B17">
        <f>SUMIF('76A Ingelow Road'!$C$2:$AY$2,$B$5,'76A Ingelow Road'!$C$10:$AY$10)+SUMIF('76A Ingelow Road'!$C$2:$AY$2,$B$5,'76A Ingelow Road'!$C$11:$AY$11)</f>
        <v/>
      </c>
    </row>
    <row r="18">
      <c r="A18" s="12" t="inlineStr">
        <is>
          <t>Net Income before Expenses</t>
        </is>
      </c>
      <c r="B18" s="12">
        <f>$B$16+$B$17</f>
        <v/>
      </c>
    </row>
    <row r="19">
      <c r="A19" t="inlineStr">
        <is>
          <t>Repair and Maintenance Expenses</t>
        </is>
      </c>
      <c r="B19">
        <f>SUMIF('76A Ingelow Road'!$C$2:$AY$2,$B$5,'76A Ingelow Road'!$C$13:$AY$13)</f>
        <v/>
      </c>
    </row>
    <row r="20">
      <c r="A20" s="12" t="inlineStr">
        <is>
          <t>Taxable Property Profit (SA105 box 38/40)</t>
        </is>
      </c>
      <c r="B20" s="15">
        <f>$B$18+$B$19</f>
        <v/>
      </c>
    </row>
    <row r="22">
      <c r="A22" s="16" t="inlineStr">
        <is>
          <t>Memo — residential property finance costs (SA105 box 44):</t>
        </is>
      </c>
    </row>
    <row r="23">
      <c r="A23" t="inlineStr">
        <is>
          <t xml:space="preserve">  Mortgage interest</t>
        </is>
      </c>
      <c r="B23">
        <f>SUMIF('Santander'!$B$3:$AN$3,$C$5,'Santander'!$B$6:$AN$6)</f>
        <v/>
      </c>
    </row>
    <row r="24">
      <c r="A24" t="inlineStr">
        <is>
          <t xml:space="preserve">  Mortgage product fees</t>
        </is>
      </c>
      <c r="B24">
        <f>SUMIF('Santander'!$B$3:$AN$3,$C$5,'Santander'!$B$8:$AN$8)</f>
        <v/>
      </c>
    </row>
    <row r="25">
      <c r="A25" s="12" t="inlineStr">
        <is>
          <t xml:space="preserve">  Total residential finance costs</t>
        </is>
      </c>
      <c r="B25" s="12">
        <f>$B$23+$B$24</f>
        <v/>
      </c>
    </row>
    <row r="27">
      <c r="A27" s="13" t="inlineStr">
        <is>
          <t>UK tax calculation</t>
        </is>
      </c>
      <c r="B27" s="14" t="n"/>
      <c r="C27" s="14" t="n"/>
      <c r="D27" s="14" t="n"/>
      <c r="E27" s="14" t="n"/>
    </row>
    <row r="28">
      <c r="A28" t="inlineStr">
        <is>
          <t>Total taxable income (property profit)</t>
        </is>
      </c>
      <c r="B28">
        <f>$B$20</f>
        <v/>
      </c>
    </row>
    <row r="29">
      <c r="A29" t="inlineStr">
        <is>
          <t>Above personal allowance</t>
        </is>
      </c>
      <c r="B29">
        <f>MAX(0,$B$20-$B$7)</f>
        <v/>
      </c>
    </row>
    <row r="30">
      <c r="A30" t="inlineStr">
        <is>
          <t>Basic rate tax (= above PA × basic rate)</t>
        </is>
      </c>
      <c r="B30">
        <f>$B$29*$B$8</f>
        <v/>
      </c>
    </row>
    <row r="31">
      <c r="A31" t="inlineStr">
        <is>
          <t>Less: financing cost credit (finance costs × credit rate)</t>
        </is>
      </c>
      <c r="B31">
        <f>-$B$25*$B$9</f>
        <v/>
      </c>
    </row>
    <row r="32">
      <c r="A32" s="12" t="inlineStr">
        <is>
          <t>Net UK Tax</t>
        </is>
      </c>
      <c r="B32" s="17">
        <f>$B$30+$B$31</f>
        <v/>
      </c>
    </row>
    <row r="35">
      <c r="A35" s="13" t="inlineStr">
        <is>
          <t>Swedish tax year 2025 (1 January to 31 December)</t>
        </is>
      </c>
      <c r="B35" s="14" t="n"/>
      <c r="C35" s="14" t="n"/>
      <c r="D35" s="14" t="n"/>
      <c r="E35" s="14" t="n"/>
    </row>
    <row r="36">
      <c r="B36" s="12" t="inlineStr">
        <is>
          <t>GBP</t>
        </is>
      </c>
      <c r="C36" s="12" t="inlineStr">
        <is>
          <t>SEK</t>
        </is>
      </c>
    </row>
    <row r="37">
      <c r="A37" t="inlineStr">
        <is>
          <t>Rental Income</t>
        </is>
      </c>
      <c r="B37">
        <f>SUMIF('76A Ingelow Road'!$C$1:$AY$1,$B$6,'76A Ingelow Road'!$C$6:$AY$6)</f>
        <v/>
      </c>
      <c r="C37">
        <f>B37*$B$4</f>
        <v/>
      </c>
    </row>
    <row r="38">
      <c r="A38" t="inlineStr">
        <is>
          <t>Knight Frank Commission</t>
        </is>
      </c>
      <c r="B38">
        <f>SUMIF('76A Ingelow Road'!$C$1:$AY$1,$B$6,'76A Ingelow Road'!$C$10:$AY$10)+SUMIF('76A Ingelow Road'!$C$1:$AY$1,$B$6,'76A Ingelow Road'!$C$11:$AY$11)</f>
        <v/>
      </c>
      <c r="C38">
        <f>B38*$B$4</f>
        <v/>
      </c>
    </row>
    <row r="39">
      <c r="A39" s="12" t="inlineStr">
        <is>
          <t>Rental income net of commission (basis for schablonavdrag)</t>
        </is>
      </c>
      <c r="B39" s="15">
        <f>$B$37+$B$38</f>
        <v/>
      </c>
      <c r="C39" s="15">
        <f>B39*$B$4</f>
        <v/>
      </c>
    </row>
    <row r="41">
      <c r="A41" s="16" t="inlineStr">
        <is>
          <t>Schablonavdrag (replaces actual expense deduction):</t>
        </is>
      </c>
    </row>
    <row r="42">
      <c r="A42" t="inlineStr">
        <is>
          <t xml:space="preserve">  Standard SEK 40,000 deduction</t>
        </is>
      </c>
      <c r="B42">
        <f>-$B$10/$B$4</f>
        <v/>
      </c>
      <c r="C42">
        <f>-$B$10</f>
        <v/>
      </c>
    </row>
    <row r="43">
      <c r="A43" t="inlineStr">
        <is>
          <t xml:space="preserve">  20% of rental income (net of commission)</t>
        </is>
      </c>
      <c r="B43">
        <f>-$B$39*$B$11</f>
        <v/>
      </c>
      <c r="C43">
        <f>B43*$B$4</f>
        <v/>
      </c>
    </row>
    <row r="44">
      <c r="A44" s="12" t="inlineStr">
        <is>
          <t>Box 7.3 — Överskott vid uthyrning av privatbostad</t>
        </is>
      </c>
      <c r="B44" s="17">
        <f>$B$39+$B$42+$B$43</f>
        <v/>
      </c>
      <c r="C44" s="17">
        <f>B44*$B$4</f>
        <v/>
      </c>
    </row>
    <row r="46">
      <c r="A46" s="16" t="inlineStr">
        <is>
          <t>Memo — repairs (not deductible under schablonavdrag):</t>
        </is>
      </c>
      <c r="B46" s="16">
        <f>SUMIF('76A Ingelow Road'!$C$1:$AY$1,$B$6,'76A Ingelow Road'!$C$13:$AY$13)</f>
        <v/>
      </c>
    </row>
    <row r="48">
      <c r="A48" s="13" t="inlineStr">
        <is>
          <t>Box 8.1 — Ränteutgifter (mortgage interest + fees)</t>
        </is>
      </c>
      <c r="B48" s="14" t="n"/>
      <c r="C48" s="14" t="n"/>
      <c r="D48" s="14" t="n"/>
      <c r="E48" s="14" t="n"/>
    </row>
    <row r="49">
      <c r="A49" t="inlineStr">
        <is>
          <t>Mortgage interest (calendar year)</t>
        </is>
      </c>
      <c r="B49">
        <f>SUMIF('Santander'!$B$4:$AN$4,$C$6,'Santander'!$B$6:$AN$6)</f>
        <v/>
      </c>
      <c r="C49">
        <f>B49*$B$4</f>
        <v/>
      </c>
    </row>
    <row r="50">
      <c r="A50" t="inlineStr">
        <is>
          <t>Mortgage product fees (deductible)</t>
        </is>
      </c>
      <c r="B50">
        <f>SUMIF('Santander'!$B$4:$AN$4,$C$6,'Santander'!$B$8:$AN$8)</f>
        <v/>
      </c>
      <c r="C50">
        <f>B50*$B$4</f>
        <v/>
      </c>
    </row>
    <row r="51">
      <c r="A51" s="12" t="inlineStr">
        <is>
          <t>Box 8.1 total</t>
        </is>
      </c>
      <c r="B51" s="17">
        <f>$B$49+$B$50</f>
        <v/>
      </c>
      <c r="C51" s="17">
        <f>B51*$B$4</f>
        <v/>
      </c>
    </row>
    <row r="53">
      <c r="A53" s="13" t="inlineStr">
        <is>
          <t>Foreign tax credit (Avräkning utländsk skatt)</t>
        </is>
      </c>
      <c r="B53" s="14" t="n"/>
      <c r="C53" s="14" t="n"/>
      <c r="D53" s="14" t="n"/>
      <c r="E53" s="14" t="n"/>
    </row>
    <row r="54">
      <c r="A54" t="inlineStr">
        <is>
          <t>UK prior year tax × 3/12 (Jan-Mar fell in old UK year)</t>
        </is>
      </c>
      <c r="B54">
        <f>'Tax 24-25'!$B$32*3/12</f>
        <v/>
      </c>
      <c r="C54">
        <f>B54*$B$4</f>
        <v/>
      </c>
    </row>
    <row r="55">
      <c r="A55" t="inlineStr">
        <is>
          <t>UK current year tax × 9/12 (Apr-Dec)</t>
        </is>
      </c>
      <c r="B55">
        <f>$B$32*9/12</f>
        <v/>
      </c>
      <c r="C55">
        <f>B55*$B$4</f>
        <v/>
      </c>
    </row>
    <row r="56">
      <c r="A56" s="12" t="inlineStr">
        <is>
          <t>Apportioned FTC for Swedish 2025</t>
        </is>
      </c>
      <c r="B56" s="17">
        <f>'Tax 24-25'!$B$32*3/12+$B$32*9/12</f>
        <v/>
      </c>
      <c r="C56" s="17">
        <f>B56*$B$4</f>
        <v/>
      </c>
    </row>
    <row r="59">
      <c r="A59" s="13" t="inlineStr">
        <is>
          <t>Swedish tax payable on rental property (marginal calc)</t>
        </is>
      </c>
      <c r="B59" s="14" t="n"/>
      <c r="C59" s="14" t="n"/>
      <c r="D59" s="14" t="n"/>
      <c r="E59" s="14" t="n"/>
    </row>
    <row r="60">
      <c r="A60" s="16" t="inlineStr">
        <is>
          <t>Note: capital income (rental, interest, dividends) is taxed at flat 30% in Sweden.</t>
        </is>
      </c>
    </row>
    <row r="61">
      <c r="A61" s="16" t="inlineStr">
        <is>
          <t>Other income (salary ~800,000 SEK) is in earned income (~50% marginal); does not affect this calc.</t>
        </is>
      </c>
    </row>
    <row r="63">
      <c r="A63" t="inlineStr">
        <is>
          <t>Net capital income (Box 7.3 - Box 8.1)</t>
        </is>
      </c>
      <c r="B63">
        <f>$B$44-$B$51</f>
        <v/>
      </c>
      <c r="C63">
        <f>B63*$B$4</f>
        <v/>
      </c>
    </row>
    <row r="64">
      <c r="A64" t="inlineStr">
        <is>
          <t>Capital tax @ 30% (gross, before foreign tax credit)</t>
        </is>
      </c>
      <c r="B64">
        <f>$B$63*$B$12</f>
        <v/>
      </c>
      <c r="C64">
        <f>B64*$B$4</f>
        <v/>
      </c>
    </row>
    <row r="65">
      <c r="A65" t="inlineStr">
        <is>
          <t>Less: Foreign tax credit</t>
        </is>
      </c>
      <c r="B65">
        <f>-$B$56</f>
        <v/>
      </c>
      <c r="C65">
        <f>B65*$B$4</f>
        <v/>
      </c>
    </row>
    <row r="66">
      <c r="A66" s="12" t="inlineStr">
        <is>
          <t>Swedish tax payable on this property</t>
        </is>
      </c>
      <c r="B66" s="17">
        <f>$B$64-$B$56</f>
        <v/>
      </c>
      <c r="C66" s="17">
        <f>B66*$B$4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60" customWidth="1" style="4" min="1" max="1"/>
    <col width="16" customWidth="1" style="4" min="2" max="2"/>
    <col width="16" customWidth="1" style="4" min="3" max="3"/>
  </cols>
  <sheetData>
    <row r="1">
      <c r="A1" s="11" t="inlineStr">
        <is>
          <t>Capital Gains 2025 — Vanguard ISA (sold June 2025)</t>
        </is>
      </c>
    </row>
    <row r="3">
      <c r="A3" s="16" t="inlineStr">
        <is>
          <t>Held in UK ISA → no UK tax. Swedish residency 25 Nov 2021 → cost basis taken at that date.</t>
        </is>
      </c>
    </row>
    <row r="4">
      <c r="A4" s="16" t="inlineStr">
        <is>
          <t>Swedish capital gains tax: 30% flat on net gain in SEK.</t>
        </is>
      </c>
    </row>
    <row r="6">
      <c r="A6" s="13" t="inlineStr">
        <is>
          <t>Parameters (edit to recalc):</t>
        </is>
      </c>
      <c r="B6" s="14" t="n"/>
      <c r="C6" s="14" t="n"/>
      <c r="D6" s="14" t="n"/>
      <c r="E6" s="14" t="n"/>
    </row>
    <row r="7">
      <c r="A7" s="12" t="inlineStr">
        <is>
          <t>Cost basis date</t>
        </is>
      </c>
      <c r="B7" t="inlineStr">
        <is>
          <t>25 Nov 2021</t>
        </is>
      </c>
      <c r="C7" s="16" t="inlineStr">
        <is>
          <t>(Swedish tax-residency start)</t>
        </is>
      </c>
    </row>
    <row r="8">
      <c r="A8" t="inlineStr">
        <is>
          <t>Cost basis value (GBP)</t>
        </is>
      </c>
      <c r="B8" t="n">
        <v>23031.31</v>
      </c>
    </row>
    <row r="9">
      <c r="A9" t="inlineStr">
        <is>
          <t>Cost basis FX rate (Nov 2021)</t>
        </is>
      </c>
      <c r="B9" t="n">
        <v>11.84728</v>
      </c>
      <c r="C9" s="16" t="inlineStr">
        <is>
          <t>Riksbanken Nov 2021 monthly avg</t>
        </is>
      </c>
    </row>
    <row r="10">
      <c r="A10" s="12" t="inlineStr">
        <is>
          <t>Sale date</t>
        </is>
      </c>
      <c r="B10" t="inlineStr">
        <is>
          <t>5 Jun 2025</t>
        </is>
      </c>
    </row>
    <row r="11">
      <c r="A11" t="inlineStr">
        <is>
          <t>Sale proceeds (GBP)</t>
        </is>
      </c>
      <c r="B11" t="n">
        <v>29862.97</v>
      </c>
    </row>
    <row r="12">
      <c r="A12" t="inlineStr">
        <is>
          <t>Sale FX rate (Jun 2025)</t>
        </is>
      </c>
      <c r="B12" t="n">
        <v>12.9485</v>
      </c>
      <c r="C12" s="16" t="inlineStr">
        <is>
          <t>Riksbanken Jun 2025 monthly avg</t>
        </is>
      </c>
    </row>
    <row r="13">
      <c r="A13" t="inlineStr">
        <is>
          <t>Swedish capital tax rate</t>
        </is>
      </c>
      <c r="B13" t="n">
        <v>0.3</v>
      </c>
    </row>
    <row r="15">
      <c r="A15" s="13" t="inlineStr">
        <is>
          <t>Calculation</t>
        </is>
      </c>
      <c r="B15" s="14" t="n"/>
      <c r="C15" s="14" t="n"/>
      <c r="D15" s="14" t="n"/>
      <c r="E15" s="14" t="n"/>
    </row>
    <row r="16">
      <c r="B16" s="12" t="inlineStr">
        <is>
          <t>GBP</t>
        </is>
      </c>
      <c r="C16" s="12" t="inlineStr">
        <is>
          <t>SEK</t>
        </is>
      </c>
    </row>
    <row r="17">
      <c r="A17" t="inlineStr">
        <is>
          <t>Cost basis (omkostnadsbelopp)</t>
        </is>
      </c>
      <c r="B17">
        <f>$B$8</f>
        <v/>
      </c>
      <c r="C17">
        <f>$B$8*$B$9</f>
        <v/>
      </c>
    </row>
    <row r="18">
      <c r="A18" t="inlineStr">
        <is>
          <t>Sale proceeds (försäljningspris)</t>
        </is>
      </c>
      <c r="B18">
        <f>$B$11</f>
        <v/>
      </c>
      <c r="C18">
        <f>$B$11*$B$12</f>
        <v/>
      </c>
    </row>
    <row r="19">
      <c r="A19" s="12" t="inlineStr">
        <is>
          <t>Capital gain</t>
        </is>
      </c>
      <c r="B19" s="15">
        <f>$B$11-$B$8</f>
        <v/>
      </c>
      <c r="C19" s="15">
        <f>$B$11*$B$12-$B$8*$B$9</f>
        <v/>
      </c>
    </row>
    <row r="21">
      <c r="A21" s="16" t="inlineStr">
        <is>
          <t>Decomposition (memo):</t>
        </is>
      </c>
    </row>
    <row r="22">
      <c r="A22" t="inlineStr">
        <is>
          <t xml:space="preserve">  Investment performance in GBP</t>
        </is>
      </c>
      <c r="B22">
        <f>$B$11-$B$8</f>
        <v/>
      </c>
    </row>
    <row r="23">
      <c r="A23" t="inlineStr">
        <is>
          <t xml:space="preserve">  FX uplift on cost basis (Nov21 → Jun25)</t>
        </is>
      </c>
      <c r="C23">
        <f>$B$8*($B$12-$B$9)</f>
        <v/>
      </c>
    </row>
    <row r="24">
      <c r="A24" s="16" t="inlineStr">
        <is>
          <t xml:space="preserve">  → Total SEK gain (matches above)</t>
        </is>
      </c>
    </row>
    <row r="26">
      <c r="A26" s="12" t="inlineStr">
        <is>
          <t>Swedish capital tax (30% of SEK gain)</t>
        </is>
      </c>
      <c r="B26" s="17">
        <f>$C$19*$B$13/$B$12</f>
        <v/>
      </c>
      <c r="C26" s="17">
        <f>$C$19*$B$13</f>
        <v/>
      </c>
    </row>
    <row r="29">
      <c r="A29" s="13" t="inlineStr">
        <is>
          <t>Reporting in your Swedish tax return:</t>
        </is>
      </c>
      <c r="B29" s="14" t="n"/>
      <c r="C29" s="14" t="n"/>
      <c r="D29" s="14" t="n"/>
      <c r="E29" s="14" t="n"/>
    </row>
    <row r="30">
      <c r="A30" s="16" t="inlineStr">
        <is>
          <t>• File K4 (bilaga K4) — avsnitt A or C depending on whether marknadsnoterade aktier/fonder</t>
        </is>
      </c>
    </row>
    <row r="31">
      <c r="A31" s="16" t="inlineStr">
        <is>
          <t>• K4 lists: antal/units, försäljningspris, omkostnadsbelopp, vinst</t>
        </is>
      </c>
    </row>
    <row r="32">
      <c r="A32" s="16" t="inlineStr">
        <is>
          <t>• Net gain rolls into Box 7.4 (kapitalvinst marknadsnoterade aktier/fonder) on INK1</t>
        </is>
      </c>
    </row>
    <row r="33">
      <c r="A33" s="16" t="inlineStr">
        <is>
          <t>• Box 7.2 catches general interest/dividends; CGT-specific lines are 7.4/7.5/7.6 depending on type</t>
        </is>
      </c>
    </row>
    <row r="35">
      <c r="A35" s="13" t="inlineStr">
        <is>
          <t>Assumptions &amp; caveats:</t>
        </is>
      </c>
      <c r="B35" s="14" t="n"/>
      <c r="C35" s="14" t="n"/>
      <c r="D35" s="14" t="n"/>
      <c r="E35" s="14" t="n"/>
    </row>
    <row r="36">
      <c r="A36" s="16" t="inlineStr">
        <is>
          <t>• Cost basis taken at 25 Nov 2021 value (Swedish residency start). This is the simplest approach if</t>
        </is>
      </c>
    </row>
    <row r="37">
      <c r="A37" s="16" t="inlineStr">
        <is>
          <t xml:space="preserve">  the bulk of the holding pre-dated the move. If significant contributions were made AFTER Nov 2021,</t>
        </is>
      </c>
    </row>
    <row r="38">
      <c r="A38" s="16" t="inlineStr">
        <is>
          <t xml:space="preserve">  Swedish tax law applies the average-cost method (genomsnittsmetoden) — each contribution's own</t>
        </is>
      </c>
    </row>
    <row r="39">
      <c r="A39" s="16" t="inlineStr">
        <is>
          <t xml:space="preserve">  cost basis (in SEK at the time) is weighted into the average. Confirm with accountant if you</t>
        </is>
      </c>
    </row>
    <row r="40">
      <c r="A40" s="16" t="inlineStr">
        <is>
          <t xml:space="preserve">  contributed materially between Nov 2021 and Jun 2025.</t>
        </is>
      </c>
    </row>
    <row r="41">
      <c r="A41" s="16" t="inlineStr">
        <is>
          <t>• FX rates used are Riksbanken monthly averages for Nov 2021 and Jun 2025.</t>
        </is>
      </c>
    </row>
    <row r="42">
      <c r="A42" s="16" t="inlineStr">
        <is>
          <t>• ISA wrapper provides no Swedish tax benefit — Sweden taxes the gain regardless.</t>
        </is>
      </c>
    </row>
    <row r="43">
      <c r="A43" s="16" t="inlineStr">
        <is>
          <t>• Capital losses elsewhere in the same year can offset this gain (currently none assumed).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Tristan Morgan</dc:creator>
  <dcterms:created xsi:type="dcterms:W3CDTF">2026-05-18T14:29:45Z</dcterms:created>
  <dcterms:modified xsi:type="dcterms:W3CDTF">2026-05-18T18:37:42Z</dcterms:modified>
  <cp:lastModifiedBy>Tristan Morgan</cp:lastModifiedBy>
</cp:coreProperties>
</file>