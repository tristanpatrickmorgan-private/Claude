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HSBC Interest" sheetId="5" state="visible" r:id="rId5"/>
    <sheet name="Capital Gains 2025" sheetId="6" state="visible" r:id="rId6"/>
    <sheet name="Yield Analysi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  <fill>
      <patternFill patternType="solid">
        <fgColor rgb="00FFFFCC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  <xf numFmtId="0" fontId="0" fillId="8" borderId="0" pivotButton="0" quotePrefix="0" xfId="0"/>
    <xf numFmtId="10" fontId="0" fillId="0" borderId="0" pivotButton="0" quotePrefix="0" xfId="0"/>
    <xf numFmtId="10" fontId="6" fillId="4" borderId="0" pivotButton="0" quotePrefix="0" xfId="0"/>
    <xf numFmtId="10" fontId="6" fillId="0" borderId="0" pivotButton="0" quotePrefix="0" xfId="0"/>
    <xf numFmtId="10" fontId="6" fillId="5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2025'!$B$33</f>
        <v/>
      </c>
      <c r="C66" s="12">
        <f>'Capital Gains 2025'!$C$33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9">
      <c r="A79" s="23" t="inlineStr">
        <is>
          <t>ALTERNATIVE: strict reading uses GROSS rent for schablonavdrag base</t>
        </is>
      </c>
    </row>
    <row r="80">
      <c r="A80" s="16" t="inlineStr">
        <is>
          <t>(Skatteverket guidance says 20% × gross rent, not net of commission)</t>
        </is>
      </c>
    </row>
    <row r="81">
      <c r="A81" t="inlineStr">
        <is>
          <t>Gross rent (Swedish 2025)</t>
        </is>
      </c>
      <c r="B81">
        <f>$B$37</f>
        <v/>
      </c>
      <c r="C81">
        <f>B81*$B$4</f>
        <v/>
      </c>
    </row>
    <row r="82">
      <c r="A82" t="inlineStr">
        <is>
          <t>Less: 40k SEK std</t>
        </is>
      </c>
      <c r="B82">
        <f>-$B$10/$B$4</f>
        <v/>
      </c>
      <c r="C82">
        <f>-$B$10</f>
        <v/>
      </c>
    </row>
    <row r="83">
      <c r="A83" t="inlineStr">
        <is>
          <t>Less: 20% of GROSS rent</t>
        </is>
      </c>
      <c r="B83">
        <f>-$B$81*$B$11</f>
        <v/>
      </c>
      <c r="C83">
        <f>B83*$B$4</f>
        <v/>
      </c>
    </row>
    <row r="84">
      <c r="A84" s="12" t="inlineStr">
        <is>
          <t>Box 7.3 — strict gross rent base</t>
        </is>
      </c>
      <c r="B84" s="15">
        <f>$B$81-$B$10/$B$4-$B$81*$B$11</f>
        <v/>
      </c>
      <c r="C84" s="15">
        <f>B84*$B$4</f>
        <v/>
      </c>
    </row>
    <row r="85">
      <c r="A85" t="inlineStr">
        <is>
          <t>Difference vs net-of-commission method</t>
        </is>
      </c>
      <c r="B85">
        <f>$B$84-$B$44</f>
        <v/>
      </c>
      <c r="C85">
        <f>B85*$B$4</f>
        <v/>
      </c>
    </row>
    <row r="86">
      <c r="A86" t="inlineStr">
        <is>
          <t>Extra Swedish tax if strict method applied (30%)</t>
        </is>
      </c>
      <c r="B86" s="19">
        <f>($B$84-$B$44)*$B$12</f>
        <v/>
      </c>
      <c r="C86" s="19">
        <f>B86*$B$4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0" customWidth="1" style="4" min="1" max="1"/>
    <col width="18" customWidth="1" style="4" min="2" max="2"/>
    <col width="20" customWidth="1" style="4" min="3" max="3"/>
    <col width="38" customWidth="1" style="4" min="4" max="4"/>
    <col width="18" customWidth="1" style="4" min="5" max="5"/>
  </cols>
  <sheetData>
    <row r="1">
      <c r="A1" s="11" t="inlineStr">
        <is>
          <t>Vanguard ISA — Capital Gains 2025 (genomsnittsmetoden)</t>
        </is>
      </c>
    </row>
    <row r="3">
      <c r="A3" s="16" t="inlineStr">
        <is>
          <t>Per Swedish tax law: cost basis = original acquisition cost in SEK at original-date FX rate.</t>
        </is>
      </c>
    </row>
    <row r="4">
      <c r="A4" s="16" t="inlineStr">
        <is>
          <t>No rebasing on Swedish residency move. All contributions were Sep 2020 to Oct 2021 (no contributions after Nov 2021 move).</t>
        </is>
      </c>
    </row>
    <row r="5">
      <c r="A5" s="16" t="inlineStr">
        <is>
          <t>FX rates in yellow cells — approximate; verify against Riksbanken monthly averages and overwrite.</t>
        </is>
      </c>
    </row>
    <row r="7">
      <c r="A7" s="18" t="inlineStr">
        <is>
          <t>Month</t>
        </is>
      </c>
      <c r="B7" s="18" t="inlineStr">
        <is>
          <t>Contribution (£)</t>
        </is>
      </c>
      <c r="C7" s="18" t="inlineStr">
        <is>
          <t>Monthly avg FX (SEK/GBP)</t>
        </is>
      </c>
      <c r="D7" s="18" t="inlineStr">
        <is>
          <t>Source</t>
        </is>
      </c>
      <c r="E7" s="18" t="inlineStr">
        <is>
          <t>SEK cost basis</t>
        </is>
      </c>
      <c r="F7" s="18" t="inlineStr"/>
    </row>
    <row r="8">
      <c r="A8" t="inlineStr">
        <is>
          <t>Sep 2020</t>
        </is>
      </c>
      <c r="B8" t="n">
        <v>200</v>
      </c>
      <c r="C8" s="24" t="n">
        <v>11.34</v>
      </c>
      <c r="D8" t="inlineStr">
        <is>
          <t>Riksbanken monthly avg (estimate, verify)</t>
        </is>
      </c>
      <c r="E8">
        <f>B8*C8</f>
        <v/>
      </c>
    </row>
    <row r="9">
      <c r="A9" t="inlineStr">
        <is>
          <t>Oct 2020</t>
        </is>
      </c>
      <c r="B9" t="n">
        <v>2508.82</v>
      </c>
      <c r="C9" s="24" t="n">
        <v>11.27</v>
      </c>
      <c r="D9" t="inlineStr">
        <is>
          <t>Riksbanken monthly avg (estimate, verify)</t>
        </is>
      </c>
      <c r="E9">
        <f>B9*C9</f>
        <v/>
      </c>
    </row>
    <row r="10">
      <c r="A10" t="inlineStr">
        <is>
          <t>Nov 2020</t>
        </is>
      </c>
      <c r="B10" t="n">
        <v>200</v>
      </c>
      <c r="C10" s="24" t="n">
        <v>11.34</v>
      </c>
      <c r="D10" t="inlineStr">
        <is>
          <t>Riksbanken monthly avg (estimate, verify)</t>
        </is>
      </c>
      <c r="E10">
        <f>B10*C10</f>
        <v/>
      </c>
    </row>
    <row r="11">
      <c r="A11" t="inlineStr">
        <is>
          <t>Dec 2020</t>
        </is>
      </c>
      <c r="B11" t="n">
        <v>200</v>
      </c>
      <c r="C11" s="24" t="n">
        <v>11.21</v>
      </c>
      <c r="D11" t="inlineStr">
        <is>
          <t>Riksbanken monthly avg (estimate, verify)</t>
        </is>
      </c>
      <c r="E11">
        <f>B11*C11</f>
        <v/>
      </c>
    </row>
    <row r="12">
      <c r="A12" t="inlineStr">
        <is>
          <t>Jan 2021</t>
        </is>
      </c>
      <c r="B12" t="n">
        <v>200</v>
      </c>
      <c r="C12" s="24" t="n">
        <v>11.34</v>
      </c>
      <c r="D12" t="inlineStr">
        <is>
          <t>Riksbanken monthly avg (estimate, verify)</t>
        </is>
      </c>
      <c r="E12">
        <f>B12*C12</f>
        <v/>
      </c>
    </row>
    <row r="13">
      <c r="A13" t="inlineStr">
        <is>
          <t>Feb 2021</t>
        </is>
      </c>
      <c r="B13" t="n">
        <v>9800</v>
      </c>
      <c r="C13" s="24" t="n">
        <v>11.78</v>
      </c>
      <c r="D13" t="inlineStr">
        <is>
          <t>Riksbanken monthly avg (estimate, verify)</t>
        </is>
      </c>
      <c r="E13">
        <f>B13*C13</f>
        <v/>
      </c>
    </row>
    <row r="14">
      <c r="A14" t="inlineStr">
        <is>
          <t>Mar 2021</t>
        </is>
      </c>
      <c r="B14" t="n">
        <v>800</v>
      </c>
      <c r="C14" s="24" t="n">
        <v>11.78</v>
      </c>
      <c r="D14" t="inlineStr">
        <is>
          <t>Riksbanken monthly avg (estimate, verify)</t>
        </is>
      </c>
      <c r="E14">
        <f>B14*C14</f>
        <v/>
      </c>
    </row>
    <row r="15">
      <c r="A15" t="inlineStr">
        <is>
          <t>Apr 2021</t>
        </is>
      </c>
      <c r="B15" t="n">
        <v>800</v>
      </c>
      <c r="C15" s="24" t="n">
        <v>11.74</v>
      </c>
      <c r="D15" t="inlineStr">
        <is>
          <t>Riksbanken monthly avg (estimate, verify)</t>
        </is>
      </c>
      <c r="E15">
        <f>B15*C15</f>
        <v/>
      </c>
    </row>
    <row r="16">
      <c r="A16" t="inlineStr">
        <is>
          <t>May 2021</t>
        </is>
      </c>
      <c r="B16" t="n">
        <v>800</v>
      </c>
      <c r="C16" s="24" t="n">
        <v>11.78</v>
      </c>
      <c r="D16" t="inlineStr">
        <is>
          <t>Riksbanken monthly avg (estimate, verify)</t>
        </is>
      </c>
      <c r="E16">
        <f>B16*C16</f>
        <v/>
      </c>
    </row>
    <row r="17">
      <c r="A17" t="inlineStr">
        <is>
          <t>Jun 2021</t>
        </is>
      </c>
      <c r="B17" t="n">
        <v>800</v>
      </c>
      <c r="C17" s="24" t="n">
        <v>11.8</v>
      </c>
      <c r="D17" t="inlineStr">
        <is>
          <t>Riksbanken monthly avg (estimate, verify)</t>
        </is>
      </c>
      <c r="E17">
        <f>B17*C17</f>
        <v/>
      </c>
    </row>
    <row r="18">
      <c r="A18" t="inlineStr">
        <is>
          <t>Jul 2021</t>
        </is>
      </c>
      <c r="B18" t="n">
        <v>800</v>
      </c>
      <c r="C18" s="24" t="n">
        <v>11.8</v>
      </c>
      <c r="D18" t="inlineStr">
        <is>
          <t>Riksbanken monthly avg (estimate, verify)</t>
        </is>
      </c>
      <c r="E18">
        <f>B18*C18</f>
        <v/>
      </c>
    </row>
    <row r="19">
      <c r="A19" t="inlineStr">
        <is>
          <t>Aug 2021</t>
        </is>
      </c>
      <c r="B19" t="n">
        <v>800</v>
      </c>
      <c r="C19" s="24" t="n">
        <v>11.95</v>
      </c>
      <c r="D19" t="inlineStr">
        <is>
          <t>Riksbanken monthly avg (estimate, verify)</t>
        </is>
      </c>
      <c r="E19">
        <f>B19*C19</f>
        <v/>
      </c>
    </row>
    <row r="20">
      <c r="A20" t="inlineStr">
        <is>
          <t>Sep 2021</t>
        </is>
      </c>
      <c r="B20" t="n">
        <v>800</v>
      </c>
      <c r="C20" s="24" t="n">
        <v>11.92</v>
      </c>
      <c r="D20" t="inlineStr">
        <is>
          <t>Riksbanken monthly avg (estimate, verify)</t>
        </is>
      </c>
      <c r="E20">
        <f>B20*C20</f>
        <v/>
      </c>
    </row>
    <row r="21">
      <c r="A21" t="inlineStr">
        <is>
          <t>Oct 2021</t>
        </is>
      </c>
      <c r="B21" t="n">
        <v>800</v>
      </c>
      <c r="C21" s="24" t="n">
        <v>11.89</v>
      </c>
      <c r="D21" t="inlineStr">
        <is>
          <t>Riksbanken monthly avg (estimate, verify)</t>
        </is>
      </c>
      <c r="E21">
        <f>B21*C21</f>
        <v/>
      </c>
    </row>
    <row r="22">
      <c r="A22" s="12" t="inlineStr">
        <is>
          <t>Total contributions</t>
        </is>
      </c>
      <c r="B22" s="15">
        <f>SUM(B8:B21)</f>
        <v/>
      </c>
      <c r="E22" s="15">
        <f>SUM(E8:E21)</f>
        <v/>
      </c>
    </row>
    <row r="24">
      <c r="A24" s="13" t="inlineStr">
        <is>
          <t>Sale 5 June 2025</t>
        </is>
      </c>
      <c r="B24" s="14" t="n"/>
      <c r="C24" s="14" t="n"/>
      <c r="D24" s="14" t="n"/>
      <c r="E24" s="14" t="n"/>
      <c r="F24" s="14" t="n"/>
    </row>
    <row r="25">
      <c r="A25" t="inlineStr">
        <is>
          <t>Sale proceeds (£)</t>
        </is>
      </c>
      <c r="B25" t="n">
        <v>29862.97</v>
      </c>
    </row>
    <row r="26">
      <c r="A26" t="inlineStr">
        <is>
          <t>June 2025 monthly avg FX (SEK/GBP)</t>
        </is>
      </c>
      <c r="B26" s="24" t="n">
        <v>12.9485</v>
      </c>
      <c r="D26" t="inlineStr">
        <is>
          <t>Riksbanken Jun 2025 monthly avg</t>
        </is>
      </c>
    </row>
    <row r="27">
      <c r="A27" s="12" t="inlineStr">
        <is>
          <t>Sale proceeds (SEK)</t>
        </is>
      </c>
      <c r="B27" s="15">
        <f>$B$25*$B$26</f>
        <v/>
      </c>
    </row>
    <row r="29">
      <c r="A29" s="13" t="inlineStr">
        <is>
          <t>Calculation</t>
        </is>
      </c>
      <c r="B29" s="14" t="n"/>
      <c r="C29" s="14" t="n"/>
      <c r="D29" s="14" t="n"/>
      <c r="E29" s="14" t="n"/>
      <c r="F29" s="14" t="n"/>
    </row>
    <row r="30">
      <c r="B30" s="12" t="inlineStr">
        <is>
          <t>GBP</t>
        </is>
      </c>
      <c r="C30" s="12" t="inlineStr">
        <is>
          <t>SEK</t>
        </is>
      </c>
    </row>
    <row r="31">
      <c r="A31" t="inlineStr">
        <is>
          <t>Sale proceeds</t>
        </is>
      </c>
      <c r="B31">
        <f>$B$25</f>
        <v/>
      </c>
      <c r="C31">
        <f>$B$27</f>
        <v/>
      </c>
    </row>
    <row r="32">
      <c r="A32" t="inlineStr">
        <is>
          <t>Less: Omkostnadsbelopp (sum of contributions in SEK)</t>
        </is>
      </c>
      <c r="B32">
        <f>-$B$22</f>
        <v/>
      </c>
      <c r="C32">
        <f>-$E$22</f>
        <v/>
      </c>
    </row>
    <row r="33">
      <c r="A33" s="12" t="inlineStr">
        <is>
          <t>Capital gain</t>
        </is>
      </c>
      <c r="B33" s="15">
        <f>$B$25-$B$22</f>
        <v/>
      </c>
      <c r="C33" s="15">
        <f>$B$27-$E$22</f>
        <v/>
      </c>
    </row>
    <row r="35">
      <c r="A35" s="12" t="inlineStr">
        <is>
          <t>Swedish capital tax (30%)</t>
        </is>
      </c>
      <c r="B35" s="17">
        <f>$C$33*0.30/$B$26</f>
        <v/>
      </c>
      <c r="C35" s="17">
        <f>$C$33*0.30</f>
        <v/>
      </c>
    </row>
    <row r="38">
      <c r="A38" s="13" t="inlineStr">
        <is>
          <t>Genomsnittsmetoden (weighted-average) cost basis</t>
        </is>
      </c>
      <c r="B38" s="14" t="n"/>
      <c r="C38" s="14" t="n"/>
      <c r="D38" s="14" t="n"/>
      <c r="E38" s="14" t="n"/>
      <c r="F38" s="14" t="n"/>
    </row>
    <row r="39">
      <c r="A39" s="16" t="inlineStr">
        <is>
          <t>• Sweden uses genomsnittsmetoden: each contribution's cost basis is the GBP × FX at acquisition date.</t>
        </is>
      </c>
    </row>
    <row r="40">
      <c r="A40" s="16" t="inlineStr">
        <is>
          <t>• Since the user sold ALL units in June 2025, the cost basis is simply the SEK sum of all contributions.</t>
        </is>
      </c>
    </row>
    <row r="41">
      <c r="A41" s="16" t="inlineStr">
        <is>
          <t>• No rebasing on becoming Swedish resident (Nov 2021).</t>
        </is>
      </c>
    </row>
    <row r="42">
      <c r="A42" s="16" t="inlineStr">
        <is>
          <t>• Reference: 44 kap. 14 § Inkomstskattelagen; Skatteverket 'Utländsk valuta' guidance.</t>
        </is>
      </c>
    </row>
    <row r="43">
      <c r="A43" s="16" t="inlineStr">
        <is>
          <t>• Yellow FX cells are estimates — verify against riksbank.se/sv/statistik/rantor-och-valutakurser/sok-rantor-och-valutakurser/</t>
        </is>
      </c>
    </row>
    <row r="45">
      <c r="A45" s="13" t="inlineStr">
        <is>
          <t>Reporting on Swedish tax return (INK1)</t>
        </is>
      </c>
      <c r="B45" s="14" t="n"/>
      <c r="C45" s="14" t="n"/>
      <c r="D45" s="14" t="n"/>
      <c r="E45" s="14" t="n"/>
      <c r="F45" s="14" t="n"/>
    </row>
    <row r="46">
      <c r="A46" s="16" t="inlineStr">
        <is>
          <t>• File K4 avsnitt A — list units sold, försäljningspris (sale SEK), omkostnadsbelopp (cost SEK), vinst</t>
        </is>
      </c>
    </row>
    <row r="47">
      <c r="A47" s="16" t="inlineStr">
        <is>
          <t>• Net gain rolls into Box 7.4 (kapitalvinst marknadsnoterade aktier/fonder)</t>
        </is>
      </c>
    </row>
    <row r="48">
      <c r="A48" s="16" t="inlineStr">
        <is>
          <t>• ISA wrapper is irrelevant for Swedish tax — full gain taxable</t>
        </is>
      </c>
    </row>
    <row r="49">
      <c r="A49" s="16" t="inlineStr">
        <is>
          <t>• Capital losses elsewhere in 2025 can offset (100% against listed shares, 70% against other capital)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7" customWidth="1" style="4" min="3" max="3"/>
    <col width="15" customWidth="1" style="4" min="4" max="4"/>
  </cols>
  <sheetData>
    <row r="1">
      <c r="A1" s="11" t="inlineStr">
        <is>
          <t>76a Ingelow Road — Investment Yield Analysis</t>
        </is>
      </c>
    </row>
    <row r="2">
      <c r="A2" s="16" t="inlineStr">
        <is>
          <t>Assuming gross-of-commission position for Swedish tax (£1,215 more conservative)</t>
        </is>
      </c>
    </row>
    <row r="3"/>
    <row r="4">
      <c r="A4" s="13" t="inlineStr">
        <is>
          <t>Inputs (edit to update yields)</t>
        </is>
      </c>
      <c r="B4" s="14" t="n"/>
      <c r="C4" s="14" t="n"/>
      <c r="D4" s="14" t="n"/>
      <c r="E4" s="14" t="n"/>
    </row>
    <row r="5">
      <c r="A5" t="inlineStr">
        <is>
          <t>Property purchase price (2018)</t>
        </is>
      </c>
      <c r="B5" s="24" t="n">
        <v>635000</v>
      </c>
    </row>
    <row r="6">
      <c r="A6" t="inlineStr">
        <is>
          <t>Years held (to 2025)</t>
        </is>
      </c>
      <c r="B6" s="24" t="n">
        <v>7</v>
      </c>
    </row>
    <row r="7">
      <c r="A7" t="inlineStr">
        <is>
          <t>Current property value</t>
        </is>
      </c>
      <c r="B7" s="24" t="n">
        <v>800000</v>
      </c>
    </row>
    <row r="8">
      <c r="A8" t="inlineStr">
        <is>
          <t>Current mortgage outstanding (interest only)</t>
        </is>
      </c>
      <c r="B8" s="24" t="n">
        <v>178764.94</v>
      </c>
    </row>
    <row r="9">
      <c r="A9" s="12" t="inlineStr">
        <is>
          <t>Equity in property (= value − mortgage)</t>
        </is>
      </c>
      <c r="B9" s="15">
        <f>$B$7-$B$8</f>
        <v/>
      </c>
    </row>
    <row r="10">
      <c r="A10" t="inlineStr">
        <is>
          <t>Eventual CGT assumption (on current £165k appreciation)</t>
        </is>
      </c>
      <c r="B10" s="24" t="n">
        <v>24000</v>
      </c>
    </row>
    <row r="11"/>
    <row r="12">
      <c r="A12" s="13" t="inlineStr">
        <is>
          <t>Historical CAGR (from 2018 purchase)</t>
        </is>
      </c>
      <c r="B12" s="14" t="n"/>
      <c r="C12" s="14" t="n"/>
      <c r="D12" s="14" t="n"/>
      <c r="E12" s="14" t="n"/>
    </row>
    <row r="13">
      <c r="A13" t="inlineStr">
        <is>
          <t>Total appreciation (current − purchase)</t>
        </is>
      </c>
      <c r="B13">
        <f>$B$7-$B$5</f>
        <v/>
      </c>
    </row>
    <row r="14">
      <c r="A14" t="inlineStr">
        <is>
          <t>Effective CGT rate on appreciation</t>
        </is>
      </c>
      <c r="B14" s="25">
        <f>$B$10/($B$7-$B$5)</f>
        <v/>
      </c>
    </row>
    <row r="15">
      <c r="A15" s="12" t="inlineStr">
        <is>
          <t>CAGR (annualised)</t>
        </is>
      </c>
      <c r="B15" s="26">
        <f>($B$7/$B$5)^(1/$B$6)-1</f>
        <v/>
      </c>
    </row>
    <row r="16">
      <c r="A16" t="inlineStr">
        <is>
          <t>Forward annual appreciation (at CAGR × current value)</t>
        </is>
      </c>
      <c r="B16">
        <f>$B$7*$B$15</f>
        <v/>
      </c>
    </row>
    <row r="17">
      <c r="A17" t="inlineStr">
        <is>
          <t>Forward appreciation AFTER CGT</t>
        </is>
      </c>
      <c r="B17">
        <f>$B$16*(1-$B$14)</f>
        <v/>
      </c>
    </row>
    <row r="18"/>
    <row r="19">
      <c r="A19" s="13" t="inlineStr">
        <is>
          <t>Income statement 2025 (gross-of-commission Swedish, product fee in 2025)</t>
        </is>
      </c>
      <c r="B19" s="14" t="n"/>
      <c r="C19" s="14" t="n"/>
      <c r="D19" s="14" t="n"/>
      <c r="E19" s="14" t="n"/>
    </row>
    <row r="20">
      <c r="B20" s="12" t="inlineStr">
        <is>
          <t>GBP</t>
        </is>
      </c>
    </row>
    <row r="21">
      <c r="A21" t="inlineStr">
        <is>
          <t>Gross rental income (UK 25/26)</t>
        </is>
      </c>
      <c r="B21">
        <f>'Tax 25-26'!$B$16</f>
        <v/>
      </c>
    </row>
    <row r="22">
      <c r="A22" t="inlineStr">
        <is>
          <t>Knight Frank commission</t>
        </is>
      </c>
      <c r="B22">
        <f>'Tax 25-26'!$B$17</f>
        <v/>
      </c>
    </row>
    <row r="23">
      <c r="A23" t="inlineStr">
        <is>
          <t>Repairs &amp; maintenance</t>
        </is>
      </c>
      <c r="B23">
        <f>'Tax 25-26'!$B$19</f>
        <v/>
      </c>
    </row>
    <row r="24">
      <c r="A24" t="inlineStr">
        <is>
          <t>Mortgage interest</t>
        </is>
      </c>
      <c r="B24">
        <f>-'Tax 25-26'!$B$23</f>
        <v/>
      </c>
    </row>
    <row r="25">
      <c r="A25" t="inlineStr">
        <is>
          <t>Mortgage product fee (one-off, 2025)</t>
        </is>
      </c>
      <c r="B25">
        <f>-'Tax 25-26'!$B$24</f>
        <v/>
      </c>
    </row>
    <row r="26">
      <c r="A26" t="inlineStr">
        <is>
          <t>UK tax on rental (net of finance credit)</t>
        </is>
      </c>
      <c r="B26">
        <f>-'Tax 25-26'!$B$32</f>
        <v/>
      </c>
    </row>
    <row r="27">
      <c r="A27" t="inlineStr">
        <is>
          <t>Swedish tax on rental (gross-of-commission base, less FTC)</t>
        </is>
      </c>
      <c r="B27">
        <f>-((0.80*'Tax 25-26'!$B$37-'Tax 25-26'!$B$10/'Tax 25-26'!$B$4-'Tax 25-26'!$B$51)*0.30-'Tax 25-26'!$B$56)</f>
        <v/>
      </c>
    </row>
    <row r="28">
      <c r="A28" s="12" t="inlineStr">
        <is>
          <t>Net cash income after all costs and tax (2025)</t>
        </is>
      </c>
      <c r="B28" s="17">
        <f>$B$21+$B$22+$B$23+$B$24+$B$25+$B$26+$B$27</f>
        <v/>
      </c>
    </row>
    <row r="29"/>
    <row r="30">
      <c r="A30" s="13" t="inlineStr">
        <is>
          <t>Yield metrics</t>
        </is>
      </c>
      <c r="B30" s="14" t="n"/>
      <c r="C30" s="14" t="n"/>
      <c r="D30" s="14" t="n"/>
      <c r="E30" s="14" t="n"/>
    </row>
    <row r="31">
      <c r="B31" s="12" t="inlineStr">
        <is>
          <t>Value</t>
        </is>
      </c>
      <c r="C31" s="12" t="inlineStr">
        <is>
          <t>% on current value</t>
        </is>
      </c>
      <c r="D31" s="12" t="inlineStr">
        <is>
          <t>% on equity</t>
        </is>
      </c>
    </row>
    <row r="32">
      <c r="A32" t="inlineStr">
        <is>
          <t>Gross yield (rent / value)</t>
        </is>
      </c>
      <c r="B32">
        <f>$B$21</f>
        <v/>
      </c>
      <c r="C32" s="25">
        <f>B32/$B$7</f>
        <v/>
      </c>
    </row>
    <row r="33">
      <c r="A33" t="inlineStr">
        <is>
          <t>Net Operating Income (NOI — pre-leverage, pre-tax)</t>
        </is>
      </c>
      <c r="B33">
        <f>$B$21+$B$22+$B$23</f>
        <v/>
      </c>
      <c r="C33" s="25">
        <f>B33/$B$7</f>
        <v/>
      </c>
    </row>
    <row r="34">
      <c r="A34" t="inlineStr">
        <is>
          <t>Net cash income (post all costs + tax, 2025)</t>
        </is>
      </c>
      <c r="B34">
        <f>$B$28</f>
        <v/>
      </c>
      <c r="C34" s="25">
        <f>B34/$B$7</f>
        <v/>
      </c>
      <c r="D34" s="25">
        <f>B34/$B$9</f>
        <v/>
      </c>
    </row>
    <row r="35"/>
    <row r="36">
      <c r="A36" t="inlineStr">
        <is>
          <t>Steady-state cash income (excl. product fee)</t>
        </is>
      </c>
      <c r="B36">
        <f>$B$28-$B$25</f>
        <v/>
      </c>
      <c r="C36" s="25">
        <f>B36/$B$7</f>
        <v/>
      </c>
      <c r="D36" s="25">
        <f>B36/$B$9</f>
        <v/>
      </c>
    </row>
    <row r="38">
      <c r="A38" t="inlineStr">
        <is>
          <t>Forward annual appreciation (CAGR × current value)</t>
        </is>
      </c>
      <c r="B38">
        <f>$B$16</f>
        <v/>
      </c>
      <c r="C38" s="25">
        <f>B38/$B$7</f>
        <v/>
      </c>
      <c r="D38" s="25">
        <f>B38/$B$9</f>
        <v/>
      </c>
    </row>
    <row r="39">
      <c r="A39" s="12" t="inlineStr">
        <is>
          <t>Total return — pre-CGT (steady cash + forward appreciation)</t>
        </is>
      </c>
      <c r="B39" s="17">
        <f>$B$36+$B$16</f>
        <v/>
      </c>
      <c r="C39" s="27">
        <f>B39/$B$7</f>
        <v/>
      </c>
      <c r="D39" s="28">
        <f>B39/$B$9</f>
        <v/>
      </c>
    </row>
    <row r="40">
      <c r="A40" s="12" t="inlineStr">
        <is>
          <t>Total return — POST-CGT (steady cash + post-CGT appreciation)</t>
        </is>
      </c>
      <c r="B40" s="17">
        <f>$B$36+$B$17</f>
        <v/>
      </c>
      <c r="C40" s="27">
        <f>B40/$B$7</f>
        <v/>
      </c>
      <c r="D40" s="28">
        <f>B40/$B$9</f>
        <v/>
      </c>
    </row>
    <row r="42">
      <c r="A42" s="13" t="inlineStr">
        <is>
          <t>Benchmarks (rough reference)</t>
        </is>
      </c>
      <c r="B42" s="14" t="n"/>
      <c r="C42" s="14" t="n"/>
      <c r="D42" s="14" t="n"/>
      <c r="E42" s="14" t="n"/>
    </row>
    <row r="43">
      <c r="A43" s="16" t="inlineStr">
        <is>
          <t>UK 10-year gilts (risk-free)</t>
        </is>
      </c>
      <c r="C43" s="16" t="inlineStr">
        <is>
          <t>~4-5%</t>
        </is>
      </c>
    </row>
    <row r="44">
      <c r="A44" s="16" t="inlineStr">
        <is>
          <t>UK cash savings (instant access)</t>
        </is>
      </c>
      <c r="C44" s="16" t="inlineStr">
        <is>
          <t>~4-5%</t>
        </is>
      </c>
    </row>
    <row r="45">
      <c r="A45" s="16" t="inlineStr">
        <is>
          <t>UK FTSE 100 long-term nominal</t>
        </is>
      </c>
      <c r="C45" s="16" t="inlineStr">
        <is>
          <t>~7-8%</t>
        </is>
      </c>
    </row>
    <row r="46">
      <c r="A46" s="16" t="inlineStr">
        <is>
          <t>Global equity index (long-term)</t>
        </is>
      </c>
      <c r="C46" s="16" t="inlineStr">
        <is>
          <t>~7-9%</t>
        </is>
      </c>
    </row>
    <row r="47">
      <c r="A47" s="16" t="inlineStr">
        <is>
          <t>Your Vanguard ISA return (2020-2025)</t>
        </is>
      </c>
      <c r="C47" s="16" t="inlineStr">
        <is>
          <t>~10%/yr</t>
        </is>
      </c>
    </row>
    <row r="49">
      <c r="A49" s="13" t="inlineStr">
        <is>
          <t>Notes</t>
        </is>
      </c>
      <c r="B49" s="14" t="n"/>
      <c r="C49" s="14" t="n"/>
      <c r="D49" s="14" t="n"/>
      <c r="E49" s="14" t="n"/>
    </row>
    <row r="50">
      <c r="A50" s="16" t="inlineStr">
        <is>
          <t>• 'Cash-on-cash' divides by equity, reflecting that you've only got ~£621k of own money in the flat.</t>
        </is>
      </c>
    </row>
    <row r="51">
      <c r="A51" s="16" t="inlineStr">
        <is>
          <t>• 'NOI yield' is pre-leverage — useful for comparing flats to other property investments before mortgage effects.</t>
        </is>
      </c>
    </row>
    <row r="52">
      <c r="A52" s="16" t="inlineStr">
        <is>
          <t>• Total return reflects assumption that 2018-2025 CAGR continues forward. London may not.</t>
        </is>
      </c>
    </row>
    <row r="53">
      <c r="A53" s="16" t="inlineStr">
        <is>
          <t>• Post-CGT applies the implied 14.5% effective CGT rate (£24k on £165k gain) to forward appreciation.</t>
        </is>
      </c>
    </row>
    <row r="54">
      <c r="A54" s="16" t="inlineStr">
        <is>
          <t>• Excludes: voids, refurbishment beyond annual maintenance, mortgage refinance risk after May 2027 (rate may rise from 4.38%).</t>
        </is>
      </c>
    </row>
    <row r="55">
      <c r="A55" s="16" t="inlineStr">
        <is>
          <t>• Excludes: opportunity cost of equity. If £621k earned 5% in gilts = £31k/year passive — almost matches the steady-state cash yield.</t>
        </is>
      </c>
    </row>
    <row r="58">
      <c r="A58" s="13" t="inlineStr">
        <is>
          <t>Zero-appreciation scenario (assume £0 capital growth)</t>
        </is>
      </c>
      <c r="B58" s="14" t="n"/>
      <c r="C58" s="14" t="n"/>
      <c r="D58" s="14" t="n"/>
      <c r="E58" s="14" t="n"/>
    </row>
    <row r="59">
      <c r="A59" s="16" t="inlineStr">
        <is>
          <t>(Conservative — reflects flat-to-down London market recent years)</t>
        </is>
      </c>
    </row>
    <row r="61">
      <c r="B61" s="12" t="inlineStr">
        <is>
          <t>Amount</t>
        </is>
      </c>
      <c r="C61" s="12" t="inlineStr">
        <is>
          <t>% on value</t>
        </is>
      </c>
      <c r="D61" s="12" t="inlineStr">
        <is>
          <t>% on equity</t>
        </is>
      </c>
    </row>
    <row r="62">
      <c r="A62" t="inlineStr">
        <is>
          <t>Total return — 2025 cash only (with fee, 0% appreciation)</t>
        </is>
      </c>
      <c r="B62">
        <f>$B$34</f>
        <v/>
      </c>
      <c r="C62" s="25">
        <f>B62/$B$7</f>
        <v/>
      </c>
      <c r="D62" s="25">
        <f>B62/$B$9</f>
        <v/>
      </c>
    </row>
    <row r="63">
      <c r="A63" s="12" t="inlineStr">
        <is>
          <t>Total return — steady-state cash only (excl fee, 0% appreciation)</t>
        </is>
      </c>
      <c r="B63" s="17">
        <f>$B$36</f>
        <v/>
      </c>
      <c r="C63" s="28">
        <f>B63/$B$7</f>
        <v/>
      </c>
      <c r="D63" s="28">
        <f>B63/$B$9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2026-05-19T00:13:16Z</dcterms:modified>
  <cp:lastModifiedBy>Tristan Morgan</cp:lastModifiedBy>
</cp:coreProperties>
</file>